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9df88fc0c942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sk Register" sheetId="1" r:id="R24fa7396bdcd4cc9"/>
    <x:sheet xmlns:r="http://schemas.openxmlformats.org/officeDocument/2006/relationships" name="Heat Map" sheetId="2" r:id="R5ec83edbadb344b3"/>
    <x:sheet xmlns:r="http://schemas.openxmlformats.org/officeDocument/2006/relationships" name="Scoring Guide" sheetId="3" r:id="R3686505d63814e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20"/>
      <x:color rgb="FFFFFFFF"/>
      <x:name val="Times New Roman"/>
    </x:font>
    <x:font>
      <x:i/>
      <x:sz val="10"/>
      <x:color rgb="FF556574"/>
      <x:name val="Times New Roman"/>
    </x:font>
    <x:font>
      <x:b/>
      <x:sz val="10"/>
      <x:color rgb="FFFFFFFF"/>
      <x:name val="Times New Roman"/>
    </x:font>
    <x:font>
      <x:sz val="10"/>
      <x:color rgb="FF17212B"/>
      <x:name val="Times New Roman"/>
    </x:font>
    <x:font>
      <x:b/>
      <x:sz val="10"/>
      <x:color rgb="FF17212B"/>
      <x:name val="Times New Roman"/>
    </x:font>
    <x:font>
      <x:b/>
      <x:sz val="12"/>
      <x:color rgb="FF0B1F33"/>
      <x:name val="Times New Roman"/>
    </x:font>
  </x:fonts>
  <x:fills count="5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0E7490"/>
      </x:patternFill>
    </x:fill>
    <x:fill>
      <x:patternFill patternType="solid">
        <x:fgColor rgb="FFE8F4F5"/>
      </x:patternFill>
    </x:fill>
  </x:fills>
  <x:borders count="3">
    <x:border/>
    <x:border>
      <x:left style="thin">
        <x:color rgb="FFC9D5DC"/>
      </x:left>
      <x:right style="thin">
        <x:color rgb="FFC9D5DC"/>
      </x:right>
      <x:top style="thin">
        <x:color rgb="FFC9D5DC"/>
      </x:top>
      <x:bottom style="thin">
        <x:color rgb="FFC9D5DC"/>
      </x:bottom>
    </x:border>
    <x:border>
      <x:left style="thin">
        <x:color rgb="FFC9D5DC"/>
      </x:left>
      <x:right style="thin">
        <x:color rgb="FFC9D5DC"/>
      </x:right>
      <x:top style="thin">
        <x:color rgb="FFC9D5DC"/>
      </x:top>
      <x:bottom style="double">
        <x:color rgb="FF0E7490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5" fillId="3" borderId="1" xfId="0" applyNumberFormat="1" applyFont="1" applyFill="1" applyBorder="1" applyAlignment="1">
      <x:alignment vertical="center" wrapText="1"/>
    </x:xf>
    <x:xf numFmtId="0" fontId="5" fillId="3" borderId="1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6" fillId="4" borderId="1" xfId="0" applyNumberFormat="1" applyFont="1" applyFill="1" applyBorder="1" applyAlignment="1">
      <x:alignment vertical="top" wrapText="1"/>
    </x:xf>
    <x:xf numFmtId="0" fontId="6" fillId="4" borderId="2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54708"/>
      </x:font>
      <x:fill>
        <x:patternFill patternType="solid">
          <x:bgColor rgb="FFFEF0C7"/>
        </x:patternFill>
      </x:fill>
    </x:dxf>
    <x:dxf>
      <x:font>
        <x:b/>
        <x:color rgb="FF027A48"/>
      </x:font>
      <x:fill>
        <x:patternFill patternType="solid">
          <x:bgColor rgb="FFD1FAD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8b6ad079d54e07" /><Relationship Type="http://schemas.openxmlformats.org/officeDocument/2006/relationships/theme" Target="/xl/theme/theme1.xml" Id="R231f08b2fc1c49b3" /><Relationship Type="http://schemas.openxmlformats.org/officeDocument/2006/relationships/sharedStrings" Target="/xl/sharedStrings.xml" Id="R8719bb68373d4b9a" /><Relationship Type="http://schemas.openxmlformats.org/officeDocument/2006/relationships/worksheet" Target="/xl/worksheets/sheet1.xml" Id="R24fa7396bdcd4cc9" /><Relationship Type="http://schemas.openxmlformats.org/officeDocument/2006/relationships/worksheet" Target="/xl/worksheets/sheet2.xml" Id="R5ec83edbadb344b3" /><Relationship Type="http://schemas.openxmlformats.org/officeDocument/2006/relationships/worksheet" Target="/xl/worksheets/sheet3.xml" Id="R3686505d63814e6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0" hidden="0" customWidth="1"/>
    <x:col min="2" max="2" width="38" hidden="0" customWidth="1"/>
    <x:col min="3" max="3" width="17" hidden="0" customWidth="1"/>
    <x:col min="4" max="4" width="12" hidden="0" customWidth="1"/>
    <x:col min="5" max="5" width="11" hidden="0" customWidth="1"/>
    <x:col min="6" max="6" width="10" hidden="0" customWidth="1"/>
    <x:col min="7" max="7" width="12" hidden="0" customWidth="1"/>
    <x:col min="8" max="8" width="52" hidden="0" customWidth="1"/>
    <x:col min="9" max="9" width="20" hidden="0" customWidth="1"/>
    <x:col min="10" max="10" width="60" hidden="0" customWidth="1"/>
  </x:cols>
  <x:sheetData>
    <x:row r="1" ht="36" customHeight="1">
      <x:c r="A1" s="3" t="str">
        <x:v>SeaNergy risk register</x:v>
      </x:c>
      <x:c r="B1" s="3" t="str">
        <x:v>SeaNergy risk register</x:v>
      </x:c>
      <x:c r="C1" s="3" t="str">
        <x:v>SeaNergy risk register</x:v>
      </x:c>
      <x:c r="D1" s="3" t="str">
        <x:v>SeaNergy risk register</x:v>
      </x:c>
      <x:c r="E1" s="3" t="str">
        <x:v>SeaNergy risk register</x:v>
      </x:c>
      <x:c r="F1" s="3" t="str">
        <x:v>SeaNergy risk register</x:v>
      </x:c>
      <x:c r="G1" s="3" t="str">
        <x:v>SeaNergy risk register</x:v>
      </x:c>
      <x:c r="H1" s="3" t="str">
        <x:v>SeaNergy risk register</x:v>
      </x:c>
      <x:c r="I1" s="3" t="str">
        <x:v>SeaNergy risk register</x:v>
      </x:c>
      <x:c r="J1" s="3" t="str">
        <x:v>SeaNergy risk register</x:v>
      </x:c>
    </x:row>
    <x:row r="2" ht="36" customHeight="1">
      <x:c r="A2" s="3" t="str">
        <x:v>SeaNergy risk register</x:v>
      </x:c>
      <x:c r="B2" s="3" t="str">
        <x:v>SeaNergy risk register</x:v>
      </x:c>
      <x:c r="C2" s="3" t="str">
        <x:v>SeaNergy risk register</x:v>
      </x:c>
      <x:c r="D2" s="3" t="str">
        <x:v>SeaNergy risk register</x:v>
      </x:c>
      <x:c r="E2" s="3" t="str">
        <x:v>SeaNergy risk register</x:v>
      </x:c>
      <x:c r="F2" s="3" t="str">
        <x:v>SeaNergy risk register</x:v>
      </x:c>
      <x:c r="G2" s="3" t="str">
        <x:v>SeaNergy risk register</x:v>
      </x:c>
      <x:c r="H2" s="3" t="str">
        <x:v>SeaNergy risk register</x:v>
      </x:c>
      <x:c r="I2" s="3" t="str">
        <x:v>SeaNergy risk register</x:v>
      </x:c>
      <x:c r="J2" s="3" t="str">
        <x:v>SeaNergy risk register</x:v>
      </x:c>
    </x:row>
    <x:row r="3">
      <x:c r="A3" s="4" t="str">
        <x:v>SIH 2026 | likelihood and impact scored 1-5 | named primary and backup ownership</x:v>
      </x:c>
    </x:row>
    <x:row r="6" ht="25" customHeight="1">
      <x:c r="A6" s="9" t="str">
        <x:v>ID</x:v>
      </x:c>
      <x:c r="B6" s="9" t="str">
        <x:v>Risk</x:v>
      </x:c>
      <x:c r="C6" s="9" t="str">
        <x:v>Category</x:v>
      </x:c>
      <x:c r="D6" s="9" t="str">
        <x:v>Likelihood</x:v>
      </x:c>
      <x:c r="E6" s="9" t="str">
        <x:v>Impact</x:v>
      </x:c>
      <x:c r="F6" s="9" t="str">
        <x:v>Score</x:v>
      </x:c>
      <x:c r="G6" s="9" t="str">
        <x:v>Level</x:v>
      </x:c>
      <x:c r="H6" s="9" t="str">
        <x:v>Mitigation</x:v>
      </x:c>
      <x:c r="I6" s="9" t="str">
        <x:v>Owner / backup</x:v>
      </x:c>
      <x:c r="J6" s="9" t="str">
        <x:v>Trigger / fallback / status</x:v>
      </x:c>
    </x:row>
    <x:row r="7">
      <x:c r="A7" s="13" t="str">
        <x:v>R-01</x:v>
      </x:c>
      <x:c r="B7" s="13" t="str">
        <x:v>Peripheral bus cannot sustain required sample rate</x:v>
      </x:c>
      <x:c r="C7" s="13" t="str">
        <x:v>Firmware</x:v>
      </x:c>
      <x:c r="D7" s="13" t="n">
        <x:v>3</x:v>
      </x:c>
      <x:c r="E7" s="13" t="n">
        <x:v>5</x:v>
      </x:c>
      <x:c r="F7" s="13" t="n">
        <x:f>D7*E7</x:f>
        <x:v>15</x:v>
      </x:c>
      <x:c r="G7" s="13" t="str">
        <x:f>IF(F7&gt;=15,"High",IF(F7&gt;=8,"Medium","Low"))</x:f>
        <x:v>High</x:v>
      </x:c>
      <x:c r="H7" s="13" t="str">
        <x:v>Benchmark DMA path; reduce copies; reserve deterministic buffer</x:v>
      </x:c>
      <x:c r="I7" s="13" t="str">
        <x:v>Pulkit / Harshada</x:v>
      </x:c>
      <x:c r="J7" s="13" t="str">
        <x:v>Trigger: missed buffer deadline. Fallback: known safe sample profile. Active</x:v>
      </x:c>
    </x:row>
    <x:row r="8">
      <x:c r="A8" s="13" t="str">
        <x:v>R-02</x:v>
      </x:c>
      <x:c r="B8" s="13" t="str">
        <x:v>Transducer resonance shifts in mounted or wet condition</x:v>
      </x:c>
      <x:c r="C8" s="13" t="str">
        <x:v>Acoustics</x:v>
      </x:c>
      <x:c r="D8" s="13" t="n">
        <x:v>4</x:v>
      </x:c>
      <x:c r="E8" s="13" t="n">
        <x:v>4</x:v>
      </x:c>
      <x:c r="F8" s="13" t="n">
        <x:f>D8*E8</x:f>
        <x:v>16</x:v>
      </x:c>
      <x:c r="G8" s="13" t="str">
        <x:f>IF(F8&gt;=15,"High",IF(F8&gt;=8,"Medium","Low"))</x:f>
        <x:v>High</x:v>
      </x:c>
      <x:c r="H8" s="13" t="str">
        <x:v>Measure impedance and sweep after mounting; keep solver down-band margin</x:v>
      </x:c>
      <x:c r="I8" s="13" t="str">
        <x:v>Pulkit / Harshada</x:v>
      </x:c>
      <x:c r="J8" s="13" t="str">
        <x:v>Trigger: peak shifts beyond calibration band. Fallback: characterized safe frequency. Active</x:v>
      </x:c>
    </x:row>
    <x:row r="9">
      <x:c r="A9" s="13" t="str">
        <x:v>R-03</x:v>
      </x:c>
      <x:c r="B9" s="13" t="str">
        <x:v>Venue restricts water, mains or open bench activity</x:v>
      </x:c>
      <x:c r="C9" s="13" t="str">
        <x:v>Demo</x:v>
      </x:c>
      <x:c r="D9" s="13" t="n">
        <x:v>3</x:v>
      </x:c>
      <x:c r="E9" s="13" t="n">
        <x:v>5</x:v>
      </x:c>
      <x:c r="F9" s="13" t="n">
        <x:f>D9*E9</x:f>
        <x:v>15</x:v>
      </x:c>
      <x:c r="G9" s="13" t="str">
        <x:f>IF(F9&gt;=15,"High",IF(F9&gt;=8,"Medium","Low"))</x:f>
        <x:v>High</x:v>
      </x:c>
      <x:c r="H9" s="13" t="str">
        <x:v>Pre-clear setup; sealed tray; battery operation; dry demonstration ready</x:v>
      </x:c>
      <x:c r="I9" s="13" t="str">
        <x:v>Pulkit / Ananya</x:v>
      </x:c>
      <x:c r="J9" s="13" t="str">
        <x:v>Trigger: venue restriction. Fallback: dry bench plus synchronized trace replay. Active</x:v>
      </x:c>
    </x:row>
    <x:row r="10">
      <x:c r="A10" s="13" t="str">
        <x:v>R-04</x:v>
      </x:c>
      <x:c r="B10" s="13" t="str">
        <x:v>Critical component or board fails</x:v>
      </x:c>
      <x:c r="C10" s="13" t="str">
        <x:v>Hardware</x:v>
      </x:c>
      <x:c r="D10" s="13" t="n">
        <x:v>3</x:v>
      </x:c>
      <x:c r="E10" s="13" t="n">
        <x:v>5</x:v>
      </x:c>
      <x:c r="F10" s="13" t="n">
        <x:f>D10*E10</x:f>
        <x:v>15</x:v>
      </x:c>
      <x:c r="G10" s="13" t="str">
        <x:f>IF(F10&gt;=15,"High",IF(F10&gt;=8,"Medium","Low"))</x:f>
        <x:v>High</x:v>
      </x:c>
      <x:c r="H10" s="13" t="str">
        <x:v>Carry programmed spare board, sensors, fuse, cables and known-good image</x:v>
      </x:c>
      <x:c r="I10" s="13" t="str">
        <x:v>Pulkit / Harshada</x:v>
      </x:c>
      <x:c r="J10" s="13" t="str">
        <x:v>Trigger: no boot/output after one reset. Fallback: spare board and recorded trace. Active</x:v>
      </x:c>
    </x:row>
    <x:row r="11">
      <x:c r="A11" s="13" t="str">
        <x:v>R-05</x:v>
      </x:c>
      <x:c r="B11" s="13" t="str">
        <x:v>Offline firmware update bricks controller</x:v>
      </x:c>
      <x:c r="C11" s="13" t="str">
        <x:v>Firmware</x:v>
      </x:c>
      <x:c r="D11" s="13" t="n">
        <x:v>2</x:v>
      </x:c>
      <x:c r="E11" s="13" t="n">
        <x:v>5</x:v>
      </x:c>
      <x:c r="F11" s="13" t="n">
        <x:f>D11*E11</x:f>
        <x:v>10</x:v>
      </x:c>
      <x:c r="G11" s="13" t="str">
        <x:f>IF(F11&gt;=15,"High",IF(F11&gt;=8,"Medium","Low"))</x:f>
        <x:v>Medium</x:v>
      </x:c>
      <x:c r="H11" s="13" t="str">
        <x:v>Signed known-good binary; recovery cable; protected release image</x:v>
      </x:c>
      <x:c r="I11" s="13" t="str">
        <x:v>Pulkit / Harshada</x:v>
      </x:c>
      <x:c r="J11" s="13" t="str">
        <x:v>Trigger: boot loop. Fallback: ROM recovery and spare board. Active</x:v>
      </x:c>
    </x:row>
    <x:row r="12">
      <x:c r="A12" s="13" t="str">
        <x:v>R-06</x:v>
      </x:c>
      <x:c r="B12" s="13" t="str">
        <x:v>Water and mains create an electrical safety event</x:v>
      </x:c>
      <x:c r="C12" s="13" t="str">
        <x:v>Safety</x:v>
      </x:c>
      <x:c r="D12" s="13" t="n">
        <x:v>2</x:v>
      </x:c>
      <x:c r="E12" s="13" t="n">
        <x:v>5</x:v>
      </x:c>
      <x:c r="F12" s="13" t="n">
        <x:f>D12*E12</x:f>
        <x:v>10</x:v>
      </x:c>
      <x:c r="G12" s="13" t="str">
        <x:f>IF(F12&gt;=15,"High",IF(F12&gt;=8,"Medium","Low"))</x:f>
        <x:v>Medium</x:v>
      </x:c>
      <x:c r="H12" s="13" t="str">
        <x:v>Battery-first setup; RCD/isolation; drip tray; physical separation; safety owner</x:v>
      </x:c>
      <x:c r="I12" s="13" t="str">
        <x:v>Ananya / Harshada</x:v>
      </x:c>
      <x:c r="J12" s="13" t="str">
        <x:v>Trigger: leak, wet connector or protection trip. Fallback: de-energize and dry demo. Active</x:v>
      </x:c>
    </x:row>
    <x:row r="13">
      <x:c r="A13" s="13" t="str">
        <x:v>R-07</x:v>
      </x:c>
      <x:c r="B13" s="13" t="str">
        <x:v>Ambient acoustic noise masks received signal</x:v>
      </x:c>
      <x:c r="C13" s="13" t="str">
        <x:v>Acoustics</x:v>
      </x:c>
      <x:c r="D13" s="13" t="n">
        <x:v>4</x:v>
      </x:c>
      <x:c r="E13" s="13" t="n">
        <x:v>4</x:v>
      </x:c>
      <x:c r="F13" s="13" t="n">
        <x:f>D13*E13</x:f>
        <x:v>16</x:v>
      </x:c>
      <x:c r="G13" s="13" t="str">
        <x:f>IF(F13&gt;=15,"High",IF(F13&gt;=8,"Medium","Low"))</x:f>
        <x:v>High</x:v>
      </x:c>
      <x:c r="H13" s="13" t="str">
        <x:v>Coded waveforms, matched filtering, close-range target and noise capture</x:v>
      </x:c>
      <x:c r="I13" s="13" t="str">
        <x:v>Pulkit / Harshada</x:v>
      </x:c>
      <x:c r="J13" s="13" t="str">
        <x:v>Trigger: SNR below demo threshold. Fallback: electrical output plus recorded water trace. Active</x:v>
      </x:c>
    </x:row>
    <x:row r="14">
      <x:c r="A14" s="13" t="str">
        <x:v>R-08</x:v>
      </x:c>
      <x:c r="B14" s="13" t="str">
        <x:v>Six-minute slot overruns</x:v>
      </x:c>
      <x:c r="C14" s="13" t="str">
        <x:v>Presentation</x:v>
      </x:c>
      <x:c r="D14" s="13" t="n">
        <x:v>3</x:v>
      </x:c>
      <x:c r="E14" s="13" t="n">
        <x:v>4</x:v>
      </x:c>
      <x:c r="F14" s="13" t="n">
        <x:f>D14*E14</x:f>
        <x:v>12</x:v>
      </x:c>
      <x:c r="G14" s="13" t="str">
        <x:f>IF(F14&gt;=15,"High",IF(F14&gt;=8,"Medium","Low"))</x:f>
        <x:v>Medium</x:v>
      </x:c>
      <x:c r="H14" s="13" t="str">
        <x:v>Timed script, fixed transitions, 90-second close and visible timer</x:v>
      </x:c>
      <x:c r="I14" s="13" t="str">
        <x:v>Aarushi / Pulkit</x:v>
      </x:c>
      <x:c r="J14" s="13" t="str">
        <x:v>Trigger: 4:30 without market section. Fallback: jump to headline evidence and ask. Active</x:v>
      </x:c>
    </x:row>
    <x:row r="15">
      <x:c r="A15" s="13" t="str">
        <x:v>R-09</x:v>
      </x:c>
      <x:c r="B15" s="13" t="str">
        <x:v>Panel lacks acoustic specialization</x:v>
      </x:c>
      <x:c r="C15" s="13" t="str">
        <x:v>Presentation</x:v>
      </x:c>
      <x:c r="D15" s="13" t="n">
        <x:v>3</x:v>
      </x:c>
      <x:c r="E15" s="13" t="n">
        <x:v>3</x:v>
      </x:c>
      <x:c r="F15" s="13" t="n">
        <x:f>D15*E15</x:f>
        <x:v>9</x:v>
      </x:c>
      <x:c r="G15" s="13" t="str">
        <x:f>IF(F15&gt;=15,"High",IF(F15&gt;=8,"Medium","Low"))</x:f>
        <x:v>Medium</x:v>
      </x:c>
      <x:c r="H15" s="13" t="str">
        <x:v>Lead with user outcome, animation and three plain-language numbers</x:v>
      </x:c>
      <x:c r="I15" s="13" t="str">
        <x:v>Aarushi / Pulkit</x:v>
      </x:c>
      <x:c r="J15" s="13" t="str">
        <x:v>Trigger: terminology questions dominate. Fallback: analogy-first explanation. Active</x:v>
      </x:c>
    </x:row>
    <x:row r="16">
      <x:c r="A16" s="13" t="str">
        <x:v>R-10</x:v>
      </x:c>
      <x:c r="B16" s="13" t="str">
        <x:v>Primary subsystem owner is absent</x:v>
      </x:c>
      <x:c r="C16" s="13" t="str">
        <x:v>Team</x:v>
      </x:c>
      <x:c r="D16" s="13" t="n">
        <x:v>2</x:v>
      </x:c>
      <x:c r="E16" s="13" t="n">
        <x:v>5</x:v>
      </x:c>
      <x:c r="F16" s="13" t="n">
        <x:f>D16*E16</x:f>
        <x:v>10</x:v>
      </x:c>
      <x:c r="G16" s="13" t="str">
        <x:f>IF(F16&gt;=15,"High",IF(F16&gt;=8,"Medium","Low"))</x:f>
        <x:v>Medium</x:v>
      </x:c>
      <x:c r="H16" s="13" t="str">
        <x:v>Assign backup for every subsystem; print runbook; cross-rehearse</x:v>
      </x:c>
      <x:c r="I16" s="13" t="str">
        <x:v>Pulkit / Ananya</x:v>
      </x:c>
      <x:c r="J16" s="13" t="str">
        <x:v>Trigger: absence or travel delay. Fallback: backup owner and reduced live scope. Active</x:v>
      </x:c>
    </x:row>
    <x:row r="17">
      <x:c r="A17" s="13" t="str">
        <x:v>R-11</x:v>
      </x:c>
      <x:c r="B17" s="13" t="str">
        <x:v>Patent-sensitive detail is disclosed before filing</x:v>
      </x:c>
      <x:c r="C17" s="13" t="str">
        <x:v>IP</x:v>
      </x:c>
      <x:c r="D17" s="13" t="n">
        <x:v>2</x:v>
      </x:c>
      <x:c r="E17" s="13" t="n">
        <x:v>5</x:v>
      </x:c>
      <x:c r="F17" s="13" t="n">
        <x:f>D17*E17</x:f>
        <x:v>10</x:v>
      </x:c>
      <x:c r="G17" s="13" t="str">
        <x:f>IF(F17&gt;=15,"High",IF(F17&gt;=8,"Medium","Low"))</x:f>
        <x:v>Medium</x:v>
      </x:c>
      <x:c r="H17" s="13" t="str">
        <x:v>Disclosure hold, controlled review links and release approval</x:v>
      </x:c>
      <x:c r="I17" s="13" t="str">
        <x:v>Aarushi / Ananya</x:v>
      </x:c>
      <x:c r="J17" s="13" t="str">
        <x:v>Trigger: public upload request. Fallback: redacted architecture until receipt. Active</x:v>
      </x:c>
    </x:row>
    <x:row r="18">
      <x:c r="A18" s="13" t="str">
        <x:v>R-12</x:v>
      </x:c>
      <x:c r="B18" s="13" t="str">
        <x:v>Imported component price or delivery changes</x:v>
      </x:c>
      <x:c r="C18" s="13" t="str">
        <x:v>Supply</x:v>
      </x:c>
      <x:c r="D18" s="13" t="n">
        <x:v>4</x:v>
      </x:c>
      <x:c r="E18" s="13" t="n">
        <x:v>3</x:v>
      </x:c>
      <x:c r="F18" s="13" t="n">
        <x:f>D18*E18</x:f>
        <x:v>12</x:v>
      </x:c>
      <x:c r="G18" s="13" t="str">
        <x:f>IF(F18&gt;=15,"High",IF(F18&gt;=8,"Medium","Low"))</x:f>
        <x:v>Medium</x:v>
      </x:c>
      <x:c r="H18" s="13" t="str">
        <x:v>Dual-source connectors and power parts; keep INR contingency and substitutes</x:v>
      </x:c>
      <x:c r="I18" s="13" t="str">
        <x:v>Harshada / Pulkit</x:v>
      </x:c>
      <x:c r="J18" s="13" t="str">
        <x:v>Trigger: lead time exceeds integration gate. Fallback: bench-equivalent part. Active</x:v>
      </x:c>
    </x:row>
    <x:row r="19">
      <x:c r="A19" s="13" t="str">
        <x:v>R-13</x:v>
      </x:c>
      <x:c r="B19" s="13" t="str">
        <x:v>Mobile or wireless link drops during demonstration</x:v>
      </x:c>
      <x:c r="C19" s="13" t="str">
        <x:v>Software</x:v>
      </x:c>
      <x:c r="D19" s="13" t="n">
        <x:v>3</x:v>
      </x:c>
      <x:c r="E19" s="13" t="n">
        <x:v>3</x:v>
      </x:c>
      <x:c r="F19" s="13" t="n">
        <x:f>D19*E19</x:f>
        <x:v>9</x:v>
      </x:c>
      <x:c r="G19" s="13" t="str">
        <x:f>IF(F19&gt;=15,"High",IF(F19&gt;=8,"Medium","Low"))</x:f>
        <x:v>Medium</x:v>
      </x:c>
      <x:c r="H19" s="13" t="str">
        <x:v>Local USB path, offline build, cached traces and fixed device pair</x:v>
      </x:c>
      <x:c r="I19" s="13" t="str">
        <x:v>Prakhar / Jaspreet</x:v>
      </x:c>
      <x:c r="J19" s="13" t="str">
        <x:v>Trigger: no telemetry for 10 seconds. Fallback: local dashboard. Active</x:v>
      </x:c>
    </x:row>
    <x:row r="20">
      <x:c r="A20" s="13" t="str">
        <x:v>R-14</x:v>
      </x:c>
      <x:c r="B20" s="13" t="str">
        <x:v>Calibration settings are overwritten</x:v>
      </x:c>
      <x:c r="C20" s="13" t="str">
        <x:v>QA</x:v>
      </x:c>
      <x:c r="D20" s="13" t="n">
        <x:v>2</x:v>
      </x:c>
      <x:c r="E20" s="13" t="n">
        <x:v>4</x:v>
      </x:c>
      <x:c r="F20" s="13" t="n">
        <x:f>D20*E20</x:f>
        <x:v>8</x:v>
      </x:c>
      <x:c r="G20" s="13" t="str">
        <x:f>IF(F20&gt;=15,"High",IF(F20&gt;=8,"Medium","Low"))</x:f>
        <x:v>Medium</x:v>
      </x:c>
      <x:c r="H20" s="13" t="str">
        <x:v>Versioned calibration file, checksum, read-only release copy</x:v>
      </x:c>
      <x:c r="I20" s="13" t="str">
        <x:v>Jaspreet / Pulkit</x:v>
      </x:c>
      <x:c r="J20" s="13" t="str">
        <x:v>Trigger: checksum mismatch. Fallback: restore signed calibration pack. Active</x:v>
      </x:c>
    </x:row>
    <x:row r="21">
      <x:c r="A21" s="13" t="str">
        <x:v>R-15</x:v>
      </x:c>
      <x:c r="B21" s="13" t="str">
        <x:v>Final integration compresses rehearsal time</x:v>
      </x:c>
      <x:c r="C21" s="13" t="str">
        <x:v>Schedule</x:v>
      </x:c>
      <x:c r="D21" s="13" t="n">
        <x:v>3</x:v>
      </x:c>
      <x:c r="E21" s="13" t="n">
        <x:v>4</x:v>
      </x:c>
      <x:c r="F21" s="13" t="n">
        <x:f>D21*E21</x:f>
        <x:v>12</x:v>
      </x:c>
      <x:c r="G21" s="13" t="str">
        <x:f>IF(F21&gt;=15,"High",IF(F21&gt;=8,"Medium","Low"))</x:f>
        <x:v>Medium</x:v>
      </x:c>
      <x:c r="H21" s="13" t="str">
        <x:v>Freeze interfaces, protect rehearsal gates and defer noncritical polish</x:v>
      </x:c>
      <x:c r="I21" s="13" t="str">
        <x:v>Pulkit / Ananya</x:v>
      </x:c>
      <x:c r="J21" s="13" t="str">
        <x:v>Trigger: integrated flow incomplete by 5 Oct. Fallback: stable reduced scope. Active</x:v>
      </x:c>
    </x:row>
  </x:sheetData>
  <x:mergeCells>
    <x:mergeCell ref="A1:J2"/>
    <x:mergeCell ref="A3:H3"/>
  </x:mergeCells>
  <x:conditionalFormatting sqref="G7:G21">
    <x:cfRule type="containsText" dxfId="0" priority="1" operator="containsText" text="High"/>
    <x:cfRule type="containsText" dxfId="1" priority="2" operator="containsText" text="Medium"/>
    <x:cfRule type="containsText" dxfId="2" priority="3" operator="containsText" text="Low"/>
  </x:conditionalFormatting>
  <x:dataValidations count="1">
    <x:dataValidation type="whole" operator="between" sqref="D7:E21">
      <x:formula1>1</x:formula1>
      <x:formula2>5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34" hidden="0" customWidth="1"/>
    <x:col min="4" max="4" width="14" hidden="0" customWidth="1"/>
    <x:col min="5" max="5" width="14" hidden="0" customWidth="1"/>
    <x:col min="6" max="6" width="14" hidden="0" customWidth="1"/>
    <x:col min="7" max="7" width="16" hidden="0" customWidth="1"/>
    <x:col min="8" max="8" width="4" hidden="0" customWidth="1"/>
  </x:cols>
  <x:sheetData>
    <x:row r="1" ht="36" customHeight="1">
      <x:c r="A1" s="3" t="str">
        <x:v>Risk heat map</x:v>
      </x:c>
      <x:c r="B1" s="3" t="str">
        <x:v>Risk heat map</x:v>
      </x:c>
      <x:c r="C1" s="3" t="str">
        <x:v>Risk heat map</x:v>
      </x:c>
      <x:c r="D1" s="3" t="str">
        <x:v>Risk heat map</x:v>
      </x:c>
      <x:c r="E1" s="3" t="str">
        <x:v>Risk heat map</x:v>
      </x:c>
      <x:c r="F1" s="3" t="str">
        <x:v>Risk heat map</x:v>
      </x:c>
      <x:c r="G1" s="3" t="str">
        <x:v>Risk heat map</x:v>
      </x:c>
      <x:c r="H1" s="3" t="str">
        <x:v>Risk heat map</x:v>
      </x:c>
    </x:row>
    <x:row r="2" ht="36" customHeight="1">
      <x:c r="A2" s="3" t="str">
        <x:v>Risk heat map</x:v>
      </x:c>
      <x:c r="B2" s="3" t="str">
        <x:v>Risk heat map</x:v>
      </x:c>
      <x:c r="C2" s="3" t="str">
        <x:v>Risk heat map</x:v>
      </x:c>
      <x:c r="D2" s="3" t="str">
        <x:v>Risk heat map</x:v>
      </x:c>
      <x:c r="E2" s="3" t="str">
        <x:v>Risk heat map</x:v>
      </x:c>
      <x:c r="F2" s="3" t="str">
        <x:v>Risk heat map</x:v>
      </x:c>
      <x:c r="G2" s="3" t="str">
        <x:v>Risk heat map</x:v>
      </x:c>
      <x:c r="H2" s="3" t="str">
        <x:v>Risk heat map</x:v>
      </x:c>
    </x:row>
    <x:row r="3">
      <x:c r="A3" s="4" t="str">
        <x:v>Count of active risks by likelihood and impact</x:v>
      </x:c>
    </x:row>
    <x:row r="6" ht="25" customHeight="1">
      <x:c r="A6" s="9" t="str">
        <x:v>Likelihood</x:v>
      </x:c>
      <x:c r="B6" s="9" t="n">
        <x:v>1</x:v>
      </x:c>
      <x:c r="C6" s="9" t="n">
        <x:v>2</x:v>
      </x:c>
      <x:c r="D6" s="9" t="n">
        <x:v>3</x:v>
      </x:c>
      <x:c r="E6" s="9" t="n">
        <x:v>4</x:v>
      </x:c>
      <x:c r="F6" s="9" t="n">
        <x:v>5</x:v>
      </x:c>
      <x:c r="G6" s="9" t="str">
        <x:v>Row total</x:v>
      </x:c>
    </x:row>
    <x:row r="7" ht="25" customHeight="1">
      <x:c r="A7" s="15" t="n">
        <x:v>5</x:v>
      </x:c>
      <x:c r="B7" s="13" t="n">
        <x:f>COUNTIFS('Risk Register'!$D$7:$D$21,$A7,'Risk Register'!$E$7:$E$21,1)</x:f>
        <x:v>0</x:v>
      </x:c>
      <x:c r="C7" s="13" t="n">
        <x:f>COUNTIFS('Risk Register'!$D$7:$D$21,$A7,'Risk Register'!$E$7:$E$21,2)</x:f>
        <x:v>0</x:v>
      </x:c>
      <x:c r="D7" s="13" t="n">
        <x:f>COUNTIFS('Risk Register'!$D$7:$D$21,$A7,'Risk Register'!$E$7:$E$21,3)</x:f>
        <x:v>0</x:v>
      </x:c>
      <x:c r="E7" s="13" t="n">
        <x:f>COUNTIFS('Risk Register'!$D$7:$D$21,$A7,'Risk Register'!$E$7:$E$21,4)</x:f>
        <x:v>0</x:v>
      </x:c>
      <x:c r="F7" s="13" t="n">
        <x:f>COUNTIFS('Risk Register'!$D$7:$D$21,$A7,'Risk Register'!$E$7:$E$21,5)</x:f>
        <x:v>0</x:v>
      </x:c>
      <x:c r="G7" s="13" t="n">
        <x:f>SUM(B7:F7)</x:f>
        <x:v>0</x:v>
      </x:c>
    </x:row>
    <x:row r="8" ht="25" customHeight="1">
      <x:c r="A8" s="15" t="n">
        <x:v>4</x:v>
      </x:c>
      <x:c r="B8" s="13" t="n">
        <x:f>COUNTIFS('Risk Register'!$D$7:$D$21,$A8,'Risk Register'!$E$7:$E$21,1)</x:f>
        <x:v>0</x:v>
      </x:c>
      <x:c r="C8" s="13" t="n">
        <x:f>COUNTIFS('Risk Register'!$D$7:$D$21,$A8,'Risk Register'!$E$7:$E$21,2)</x:f>
        <x:v>0</x:v>
      </x:c>
      <x:c r="D8" s="13" t="n">
        <x:f>COUNTIFS('Risk Register'!$D$7:$D$21,$A8,'Risk Register'!$E$7:$E$21,3)</x:f>
        <x:v>1</x:v>
      </x:c>
      <x:c r="E8" s="13" t="n">
        <x:f>COUNTIFS('Risk Register'!$D$7:$D$21,$A8,'Risk Register'!$E$7:$E$21,4)</x:f>
        <x:v>2</x:v>
      </x:c>
      <x:c r="F8" s="13" t="n">
        <x:f>COUNTIFS('Risk Register'!$D$7:$D$21,$A8,'Risk Register'!$E$7:$E$21,5)</x:f>
        <x:v>0</x:v>
      </x:c>
      <x:c r="G8" s="13" t="n">
        <x:f>SUM(B8:F8)</x:f>
        <x:v>3</x:v>
      </x:c>
    </x:row>
    <x:row r="9" ht="25" customHeight="1">
      <x:c r="A9" s="15" t="n">
        <x:v>3</x:v>
      </x:c>
      <x:c r="B9" s="13" t="n">
        <x:f>COUNTIFS('Risk Register'!$D$7:$D$21,$A9,'Risk Register'!$E$7:$E$21,1)</x:f>
        <x:v>0</x:v>
      </x:c>
      <x:c r="C9" s="13" t="n">
        <x:f>COUNTIFS('Risk Register'!$D$7:$D$21,$A9,'Risk Register'!$E$7:$E$21,2)</x:f>
        <x:v>0</x:v>
      </x:c>
      <x:c r="D9" s="13" t="n">
        <x:f>COUNTIFS('Risk Register'!$D$7:$D$21,$A9,'Risk Register'!$E$7:$E$21,3)</x:f>
        <x:v>2</x:v>
      </x:c>
      <x:c r="E9" s="13" t="n">
        <x:f>COUNTIFS('Risk Register'!$D$7:$D$21,$A9,'Risk Register'!$E$7:$E$21,4)</x:f>
        <x:v>2</x:v>
      </x:c>
      <x:c r="F9" s="13" t="n">
        <x:f>COUNTIFS('Risk Register'!$D$7:$D$21,$A9,'Risk Register'!$E$7:$E$21,5)</x:f>
        <x:v>3</x:v>
      </x:c>
      <x:c r="G9" s="13" t="n">
        <x:f>SUM(B9:F9)</x:f>
        <x:v>7</x:v>
      </x:c>
    </x:row>
    <x:row r="10" ht="25" customHeight="1">
      <x:c r="A10" s="15" t="n">
        <x:v>2</x:v>
      </x:c>
      <x:c r="B10" s="13" t="n">
        <x:f>COUNTIFS('Risk Register'!$D$7:$D$21,$A10,'Risk Register'!$E$7:$E$21,1)</x:f>
        <x:v>0</x:v>
      </x:c>
      <x:c r="C10" s="13" t="n">
        <x:f>COUNTIFS('Risk Register'!$D$7:$D$21,$A10,'Risk Register'!$E$7:$E$21,2)</x:f>
        <x:v>0</x:v>
      </x:c>
      <x:c r="D10" s="13" t="n">
        <x:f>COUNTIFS('Risk Register'!$D$7:$D$21,$A10,'Risk Register'!$E$7:$E$21,3)</x:f>
        <x:v>0</x:v>
      </x:c>
      <x:c r="E10" s="13" t="n">
        <x:f>COUNTIFS('Risk Register'!$D$7:$D$21,$A10,'Risk Register'!$E$7:$E$21,4)</x:f>
        <x:v>1</x:v>
      </x:c>
      <x:c r="F10" s="13" t="n">
        <x:f>COUNTIFS('Risk Register'!$D$7:$D$21,$A10,'Risk Register'!$E$7:$E$21,5)</x:f>
        <x:v>4</x:v>
      </x:c>
      <x:c r="G10" s="13" t="n">
        <x:f>SUM(B10:F10)</x:f>
        <x:v>5</x:v>
      </x:c>
    </x:row>
    <x:row r="11" ht="25" customHeight="1">
      <x:c r="A11" s="15" t="n">
        <x:v>1</x:v>
      </x:c>
      <x:c r="B11" s="13" t="n">
        <x:f>COUNTIFS('Risk Register'!$D$7:$D$21,$A11,'Risk Register'!$E$7:$E$21,1)</x:f>
        <x:v>0</x:v>
      </x:c>
      <x:c r="C11" s="13" t="n">
        <x:f>COUNTIFS('Risk Register'!$D$7:$D$21,$A11,'Risk Register'!$E$7:$E$21,2)</x:f>
        <x:v>0</x:v>
      </x:c>
      <x:c r="D11" s="13" t="n">
        <x:f>COUNTIFS('Risk Register'!$D$7:$D$21,$A11,'Risk Register'!$E$7:$E$21,3)</x:f>
        <x:v>0</x:v>
      </x:c>
      <x:c r="E11" s="13" t="n">
        <x:f>COUNTIFS('Risk Register'!$D$7:$D$21,$A11,'Risk Register'!$E$7:$E$21,4)</x:f>
        <x:v>0</x:v>
      </x:c>
      <x:c r="F11" s="13" t="n">
        <x:f>COUNTIFS('Risk Register'!$D$7:$D$21,$A11,'Risk Register'!$E$7:$E$21,5)</x:f>
        <x:v>0</x:v>
      </x:c>
      <x:c r="G11" s="13" t="n">
        <x:f>SUM(B11:F11)</x:f>
        <x:v>0</x:v>
      </x:c>
    </x:row>
    <x:row r="12">
      <x:c r="A12" s="18" t="str">
        <x:v>Column total</x:v>
      </x:c>
      <x:c r="B12" s="18" t="n">
        <x:f>SUM(B7:B11)</x:f>
        <x:v>0</x:v>
      </x:c>
      <x:c r="C12" s="18" t="n">
        <x:f>SUM(C7:C11)</x:f>
        <x:v>0</x:v>
      </x:c>
      <x:c r="D12" s="18" t="n">
        <x:f>SUM(D7:D11)</x:f>
        <x:v>3</x:v>
      </x:c>
      <x:c r="E12" s="18" t="n">
        <x:f>SUM(E7:E11)</x:f>
        <x:v>5</x:v>
      </x:c>
      <x:c r="F12" s="18" t="n">
        <x:f>SUM(F7:F11)</x:f>
        <x:v>7</x:v>
      </x:c>
      <x:c r="G12" s="18" t="n">
        <x:f>SUM(G7:G11)</x:f>
        <x:v>15</x:v>
      </x:c>
    </x:row>
    <x:row r="15" ht="25" customHeight="1">
      <x:c r="A15" s="9" t="str">
        <x:v>Level</x:v>
      </x:c>
      <x:c r="B15" s="9" t="str">
        <x:v>Count</x:v>
      </x:c>
      <x:c r="C15" s="9" t="str">
        <x:v>Definition</x:v>
      </x:c>
    </x:row>
    <x:row r="16">
      <x:c r="A16" s="13" t="str">
        <x:v>High</x:v>
      </x:c>
      <x:c r="B16" s="13" t="n">
        <x:f>COUNTIF('Risk Register'!$G$7:$G$21,A16)</x:f>
        <x:v>5</x:v>
      </x:c>
      <x:c r="C16" s="13" t="str">
        <x:v>Score 15-25; fallback mandatory</x:v>
      </x:c>
    </x:row>
    <x:row r="17">
      <x:c r="A17" s="13" t="str">
        <x:v>Medium</x:v>
      </x:c>
      <x:c r="B17" s="13" t="n">
        <x:f>COUNTIF('Risk Register'!$G$7:$G$21,A17)</x:f>
        <x:v>10</x:v>
      </x:c>
      <x:c r="C17" s="13" t="str">
        <x:v>Score 8-14; mitigation and trigger tracked</x:v>
      </x:c>
    </x:row>
    <x:row r="18">
      <x:c r="A18" s="13" t="str">
        <x:v>Low</x:v>
      </x:c>
      <x:c r="B18" s="13" t="n">
        <x:f>COUNTIF('Risk Register'!$G$7:$G$21,A18)</x:f>
        <x:v>0</x:v>
      </x:c>
      <x:c r="C18" s="13" t="str">
        <x:v>Score 1-7; monitor</x:v>
      </x:c>
    </x:row>
  </x:sheetData>
  <x:mergeCells>
    <x:mergeCell ref="A1:H2"/>
    <x:mergeCell ref="A3:H3"/>
  </x:mergeCells>
  <x:conditionalFormatting sqref="B7:F11">
    <x:cfRule type="colorScale" priority="1">
      <x:colorScale>
        <x:cfvo type="min"/>
        <x:cfvo type="percentile" val="50"/>
        <x:cfvo type="max"/>
        <x:color rgb="FFD1FADF"/>
        <x:color rgb="FFFEF0C7"/>
        <x:color rgb="FFFEE4E2"/>
      </x:colorScale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5" hidden="0" customWidth="1"/>
    <x:col min="3" max="3" width="45" hidden="0" customWidth="1"/>
    <x:col min="4" max="4" width="35" hidden="0" customWidth="1"/>
  </x:cols>
  <x:sheetData>
    <x:row r="1" ht="36" customHeight="1">
      <x:c r="A1" s="3" t="str">
        <x:v>Scoring and ownership guide</x:v>
      </x:c>
      <x:c r="B1" s="3" t="str">
        <x:v>Scoring and ownership guide</x:v>
      </x:c>
      <x:c r="C1" s="3" t="str">
        <x:v>Scoring and ownership guide</x:v>
      </x:c>
      <x:c r="D1" s="3" t="str">
        <x:v>Scoring and ownership guide</x:v>
      </x:c>
      <x:c r="E1" s="3" t="str">
        <x:v>Scoring and ownership guide</x:v>
      </x:c>
      <x:c r="F1" s="3" t="str">
        <x:v>Scoring and ownership guide</x:v>
      </x:c>
      <x:c r="G1" s="3" t="str">
        <x:v>Scoring and ownership guide</x:v>
      </x:c>
      <x:c r="H1" s="3" t="str">
        <x:v>Scoring and ownership guide</x:v>
      </x:c>
    </x:row>
    <x:row r="2" ht="36" customHeight="1">
      <x:c r="A2" s="3" t="str">
        <x:v>Scoring and ownership guide</x:v>
      </x:c>
      <x:c r="B2" s="3" t="str">
        <x:v>Scoring and ownership guide</x:v>
      </x:c>
      <x:c r="C2" s="3" t="str">
        <x:v>Scoring and ownership guide</x:v>
      </x:c>
      <x:c r="D2" s="3" t="str">
        <x:v>Scoring and ownership guide</x:v>
      </x:c>
      <x:c r="E2" s="3" t="str">
        <x:v>Scoring and ownership guide</x:v>
      </x:c>
      <x:c r="F2" s="3" t="str">
        <x:v>Scoring and ownership guide</x:v>
      </x:c>
      <x:c r="G2" s="3" t="str">
        <x:v>Scoring and ownership guide</x:v>
      </x:c>
      <x:c r="H2" s="3" t="str">
        <x:v>Scoring and ownership guide</x:v>
      </x:c>
    </x:row>
    <x:row r="3">
      <x:c r="A3" s="4" t="str">
        <x:v>Every risk has a named primary owner and operational backup</x:v>
      </x:c>
    </x:row>
    <x:row r="6" ht="25" customHeight="1">
      <x:c r="A6" s="9" t="str">
        <x:v>Score</x:v>
      </x:c>
      <x:c r="B6" s="9" t="str">
        <x:v>Likelihood</x:v>
      </x:c>
      <x:c r="C6" s="9" t="str">
        <x:v>Impact</x:v>
      </x:c>
      <x:c r="D6" s="9" t="str">
        <x:v>Response</x:v>
      </x:c>
    </x:row>
    <x:row r="7">
      <x:c r="A7" s="13" t="n">
        <x:v>1</x:v>
      </x:c>
      <x:c r="B7" s="13" t="str">
        <x:v>Rare</x:v>
      </x:c>
      <x:c r="C7" s="13" t="str">
        <x:v>Negligible; no demo effect</x:v>
      </x:c>
      <x:c r="D7" s="13" t="str">
        <x:v>Monitor</x:v>
      </x:c>
    </x:row>
    <x:row r="8">
      <x:c r="A8" s="13" t="n">
        <x:v>2</x:v>
      </x:c>
      <x:c r="B8" s="13" t="str">
        <x:v>Unlikely</x:v>
      </x:c>
      <x:c r="C8" s="13" t="str">
        <x:v>Minor degradation</x:v>
      </x:c>
      <x:c r="D8" s="13" t="str">
        <x:v>Owner action</x:v>
      </x:c>
    </x:row>
    <x:row r="9">
      <x:c r="A9" s="13" t="n">
        <x:v>3</x:v>
      </x:c>
      <x:c r="B9" s="13" t="str">
        <x:v>Possible</x:v>
      </x:c>
      <x:c r="C9" s="13" t="str">
        <x:v>Visible degradation or rework</x:v>
      </x:c>
      <x:c r="D9" s="13" t="str">
        <x:v>Mitigate and rehearse</x:v>
      </x:c>
    </x:row>
    <x:row r="10">
      <x:c r="A10" s="13" t="n">
        <x:v>4</x:v>
      </x:c>
      <x:c r="B10" s="13" t="str">
        <x:v>Likely</x:v>
      </x:c>
      <x:c r="C10" s="13" t="str">
        <x:v>Major subsystem or schedule effect</x:v>
      </x:c>
      <x:c r="D10" s="13" t="str">
        <x:v>Fallback prepared</x:v>
      </x:c>
    </x:row>
    <x:row r="11">
      <x:c r="A11" s="13" t="n">
        <x:v>5</x:v>
      </x:c>
      <x:c r="B11" s="13" t="str">
        <x:v>Almost certain</x:v>
      </x:c>
      <x:c r="C11" s="13" t="str">
        <x:v>Safety, filing, submission or demo failure</x:v>
      </x:c>
      <x:c r="D11" s="13" t="str">
        <x:v>Immediate control and fallback</x:v>
      </x:c>
    </x:row>
    <x:row r="14" ht="25" customHeight="1">
      <x:c r="A14" s="9" t="str">
        <x:v>High-risk rule</x:v>
      </x:c>
      <x:c r="B14" s="9" t="str">
        <x:v>Required fields</x:v>
      </x:c>
      <x:c r="C14" s="9" t="str">
        <x:v>Review point</x:v>
      </x:c>
      <x:c r="D14" s="9" t="str">
        <x:v>Closure evidence</x:v>
      </x:c>
    </x:row>
    <x:row r="15">
      <x:c r="A15" s="13" t="str">
        <x:v>Score &gt;= 15</x:v>
      </x:c>
      <x:c r="B15" s="13" t="str">
        <x:v>Named owner, trigger, mitigation, fallback</x:v>
      </x:c>
      <x:c r="C15" s="13" t="str">
        <x:v>Each integration/rehearsal gate</x:v>
      </x:c>
      <x:c r="D15" s="13" t="str">
        <x:v>Recorded drill or risk reduction</x:v>
      </x:c>
    </x:row>
  </x:sheetData>
  <x:mergeCells>
    <x:mergeCell ref="A1:H2"/>
    <x:mergeCell ref="A3:H3"/>
  </x:mergeCells>
  <x:pageMargins left="0.7" right="0.7" top="0.75" bottom="0.75" header="0.3" footer="0.3"/>
</x:worksheet>
</file>