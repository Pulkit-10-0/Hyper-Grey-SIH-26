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90bc682cc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 Matrix" sheetId="1" r:id="Re5b8a0516e5a4cbb"/>
    <x:sheet xmlns:r="http://schemas.openxmlformats.org/officeDocument/2006/relationships" name="Metrics" sheetId="2" r:id="R7181be5273c44a88"/>
    <x:sheet xmlns:r="http://schemas.openxmlformats.org/officeDocument/2006/relationships" name="Turbidity Sweep" sheetId="3" r:id="Ra6b8f58487614ca7"/>
    <x:sheet xmlns:r="http://schemas.openxmlformats.org/officeDocument/2006/relationships" name="Sources" sheetId="4" r:id="R0b5ec022e9a3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8">
    <x:font>
      <x:sz val="11"/>
      <x:name val="Carlito"/>
    </x:font>
    <x:font>
      <x:sz val="10"/>
      <x:color rgb="FF1D2733"/>
      <x:name val="Times New Roman"/>
    </x:font>
    <x:font>
      <x:b/>
      <x:sz val="18"/>
      <x:color rgb="FF102A43"/>
      <x:name val="Times New Roman"/>
    </x:font>
    <x:font>
      <x:i/>
      <x:sz val="10"/>
      <x:color rgb="FF566573"/>
      <x:name val="Times New Roman"/>
    </x:font>
    <x:font>
      <x:i/>
      <x:sz val="9"/>
      <x:color rgb="FFB6423C"/>
      <x:name val="Times New Roman"/>
    </x:font>
    <x:font>
      <x:b/>
      <x:sz val="10"/>
      <x:color rgb="FFFFFFFF"/>
      <x:name val="Times New Roman"/>
    </x:font>
    <x:font>
      <x:b/>
      <x:sz val="10"/>
      <x:color rgb="FF102A43"/>
      <x:name val="Times New Roman"/>
    </x:font>
    <x:font>
      <x:i/>
      <x:sz val="10"/>
      <x:color rgb="FFB6423C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CCD8DE"/>
      </x:right>
      <x:bottom style="thin">
        <x:color rgb="FFCCD8DE"/>
      </x:bottom>
    </x:border>
    <x:border>
      <x:left style="thin">
        <x:color rgb="FFCCD8DE"/>
      </x:left>
      <x:right style="thin">
        <x:color rgb="FFCCD8DE"/>
      </x:right>
      <x:bottom style="thin">
        <x:color rgb="FFCCD8DE"/>
      </x:bottom>
    </x:border>
    <x:border>
      <x:left style="thin">
        <x:color rgb="FFCCD8DE"/>
      </x:left>
      <x:bottom style="thin">
        <x:color rgb="FFCCD8DE"/>
      </x:bottom>
    </x:border>
    <x:border>
      <x:right style="thin">
        <x:color rgb="FFCCD8DE"/>
      </x:right>
      <x:top style="thin">
        <x:color rgb="FFCCD8DE"/>
      </x:top>
      <x:bottom style="thin">
        <x:color rgb="FFCCD8DE"/>
      </x:bottom>
    </x:border>
    <x:border>
      <x:left style="thin">
        <x:color rgb="FFCCD8DE"/>
      </x:left>
      <x:right style="thin">
        <x:color rgb="FFCCD8DE"/>
      </x:right>
      <x:top style="thin">
        <x:color rgb="FFCCD8DE"/>
      </x:top>
      <x:bottom style="thin">
        <x:color rgb="FFCCD8DE"/>
      </x:bottom>
    </x:border>
    <x:border>
      <x:left style="thin">
        <x:color rgb="FFCCD8DE"/>
      </x:left>
      <x:top style="thin">
        <x:color rgb="FFCCD8DE"/>
      </x:top>
      <x:bottom style="thin">
        <x:color rgb="FFCCD8DE"/>
      </x:bottom>
    </x:border>
    <x:border>
      <x:right style="thin">
        <x:color rgb="FFCCD8DE"/>
      </x:right>
      <x:top style="thin">
        <x:color rgb="FFCCD8DE"/>
      </x:top>
    </x:border>
    <x:border>
      <x:left style="thin">
        <x:color rgb="FFCCD8DE"/>
      </x:left>
      <x:right style="thin">
        <x:color rgb="FFCCD8DE"/>
      </x:right>
      <x:top style="thin">
        <x:color rgb="FFCCD8DE"/>
      </x:top>
    </x:border>
    <x:border>
      <x:left style="thin">
        <x:color rgb="FFCCD8DE"/>
      </x:left>
      <x:top style="thin">
        <x:color rgb="FFCCD8DE"/>
      </x:top>
    </x:border>
    <x:border>
      <x:left style="medium">
        <x:color rgb="FF102A43"/>
      </x:left>
      <x:right style="thin">
        <x:color rgb="FFFFFFFF"/>
      </x:right>
      <x:top style="medium">
        <x:color rgb="FF102A43"/>
      </x:top>
    </x:border>
    <x:border>
      <x:left style="thin">
        <x:color rgb="FFFFFFFF"/>
      </x:left>
      <x:right style="thin">
        <x:color rgb="FFFFFFFF"/>
      </x:right>
      <x:top style="medium">
        <x:color rgb="FF102A43"/>
      </x:top>
    </x:border>
    <x:border>
      <x:left style="thin">
        <x:color rgb="FFFFFFFF"/>
      </x:left>
      <x:right style="medium">
        <x:color rgb="FF102A43"/>
      </x:right>
      <x:top style="medium">
        <x:color rgb="FF102A43"/>
      </x:top>
    </x:border>
    <x:border>
      <x:left style="medium">
        <x:color rgb="FF102A43"/>
      </x:left>
      <x:right style="thin">
        <x:color rgb="FFCCD8DE"/>
      </x:right>
      <x:bottom style="thin">
        <x:color rgb="FFCCD8DE"/>
      </x:bottom>
    </x:border>
    <x:border>
      <x:left style="thin">
        <x:color rgb="FFCCD8DE"/>
      </x:left>
      <x:right style="medium">
        <x:color rgb="FF102A43"/>
      </x:right>
      <x:bottom style="thin">
        <x:color rgb="FFCCD8DE"/>
      </x:bottom>
    </x:border>
    <x:border>
      <x:left style="medium">
        <x:color rgb="FF102A43"/>
      </x:left>
      <x:right style="thin">
        <x:color rgb="FFCCD8DE"/>
      </x:right>
      <x:top style="thin">
        <x:color rgb="FFCCD8DE"/>
      </x:top>
      <x:bottom style="thin">
        <x:color rgb="FFCCD8DE"/>
      </x:bottom>
    </x:border>
    <x:border>
      <x:left style="thin">
        <x:color rgb="FFCCD8DE"/>
      </x:left>
      <x:right style="medium">
        <x:color rgb="FF102A43"/>
      </x:right>
      <x:top style="thin">
        <x:color rgb="FFCCD8DE"/>
      </x:top>
      <x:bottom style="thin">
        <x:color rgb="FFCCD8DE"/>
      </x:bottom>
    </x:border>
    <x:border>
      <x:left style="medium">
        <x:color rgb="FF102A43"/>
      </x:left>
      <x:right style="thin">
        <x:color rgb="FFCCD8DE"/>
      </x:right>
      <x:top style="thin">
        <x:color rgb="FFCCD8DE"/>
      </x:top>
      <x:bottom style="medium">
        <x:color rgb="FF102A43"/>
      </x:bottom>
    </x:border>
    <x:border>
      <x:left style="thin">
        <x:color rgb="FFCCD8DE"/>
      </x:left>
      <x:right style="thin">
        <x:color rgb="FFCCD8DE"/>
      </x:right>
      <x:top style="thin">
        <x:color rgb="FFCCD8DE"/>
      </x:top>
      <x:bottom style="medium">
        <x:color rgb="FF102A43"/>
      </x:bottom>
    </x:border>
    <x:border>
      <x:left style="thin">
        <x:color rgb="FFCCD8DE"/>
      </x:left>
      <x:right style="medium">
        <x:color rgb="FF102A43"/>
      </x:right>
      <x:top style="thin">
        <x:color rgb="FFCCD8DE"/>
      </x:top>
      <x:bottom style="medium">
        <x:color rgb="FF102A43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11" xfId="0" applyNumberFormat="1" applyFont="1" applyFill="1" applyBorder="1" applyAlignment="1">
      <x:alignment horizontal="center" vertical="top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5" fillId="2" borderId="14" xfId="0" applyNumberFormat="1" applyFont="1" applyFill="1" applyBorder="1" applyAlignment="1">
      <x:alignment horizontal="center" vertical="center" wrapText="1"/>
    </x:xf>
    <x:xf numFmtId="0" fontId="5" fillId="2" borderId="15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 applyAlignment="1">
      <x:alignment horizontal="center"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horizontal="center"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horizontal="center" vertical="top" wrapText="1"/>
    </x:xf>
    <x:xf numFmtId="0" fontId="1" fillId="0" borderId="21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horizontal="center" vertical="top" wrapText="1"/>
    </x:xf>
    <x:xf numFmtId="0" fontId="1" fillId="0" borderId="2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1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1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</x:cellXfs>
  <x:cellStyles count="1">
    <x:cellStyle name="Normal" xfId="0"/>
  </x:cellStyles>
  <x:dxfs count="3">
    <x:dxf>
      <x:font>
        <x:b/>
        <x:color rgb="FFFFFFFF"/>
      </x:font>
      <x:fill>
        <x:patternFill patternType="solid">
          <x:bgColor rgb="FFE59F23"/>
        </x:patternFill>
      </x:fill>
    </x:dxf>
    <x:dxf>
      <x:font>
        <x:b/>
        <x:color rgb="FFFFFFFF"/>
      </x:font>
      <x:fill>
        <x:patternFill patternType="solid">
          <x:bgColor rgb="FFB6423C"/>
        </x:patternFill>
      </x:fill>
    </x:dxf>
    <x:dxf>
      <x:font>
        <x:b/>
        <x:color rgb="FFFFFFFF"/>
      </x:font>
      <x:fill>
        <x:patternFill patternType="solid">
          <x:bgColor rgb="FF2C7A5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06209756b4942" /><Relationship Type="http://schemas.openxmlformats.org/officeDocument/2006/relationships/theme" Target="/xl/theme/theme1.xml" Id="R16dddaacceb7404a" /><Relationship Type="http://schemas.openxmlformats.org/officeDocument/2006/relationships/sharedStrings" Target="/xl/sharedStrings.xml" Id="Rd06ef758c6544b9e" /><Relationship Type="http://schemas.openxmlformats.org/officeDocument/2006/relationships/worksheet" Target="/xl/worksheets/sheet1.xml" Id="Re5b8a0516e5a4cbb" /><Relationship Type="http://schemas.openxmlformats.org/officeDocument/2006/relationships/worksheet" Target="/xl/worksheets/sheet2.xml" Id="R7181be5273c44a88" /><Relationship Type="http://schemas.openxmlformats.org/officeDocument/2006/relationships/worksheet" Target="/xl/worksheets/sheet3.xml" Id="Ra6b8f58487614ca7" /><Relationship Type="http://schemas.openxmlformats.org/officeDocument/2006/relationships/worksheet" Target="/xl/worksheets/sheet4.xml" Id="R0b5ec022e9a34f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451937870d47c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c931e61636045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Times New Roman"/>
                <a:ea typeface="Times New Roman"/>
                <a:cs typeface="Times New Roman"/>
              </a:rPr>
              <a:t>Verified peak sidelobe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Times New Roman"/>
              <a:ea typeface="Times New Roman"/>
              <a:cs typeface="Times New Roman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Peak sidelobe dB</c:v>
          </c:tx>
          <c:cat>
            <c:strRef>
              <c:f>'Metrics'!$J$5:$J$8</c:f>
              <c:strCache>
                <c:ptCount val="0"/>
              </c:strCache>
            </c:strRef>
          </c:cat>
          <c:val>
            <c:numRef>
              <c:f>'Metrics'!$K$5:$K$8</c:f>
              <c:numCache>
                <c:formatCode>0.0" dB"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 d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Times New Roman"/>
                <a:ea typeface="Times New Roman"/>
                <a:cs typeface="Times New Roman"/>
              </a:rPr>
              <a:t>Centre frequency falls as turbidity rises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Times New Roman"/>
              <a:ea typeface="Times New Roman"/>
              <a:cs typeface="Times New Roma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Centre kHz</c:v>
          </c:tx>
          <c:marker>
            <c:symbol val="none"/>
          </c:marker>
          <c:cat>
            <c:strRef>
              <c:f>'Turbidity Sweep'!$A$5:$A$8</c:f>
              <c:strCache>
                <c:ptCount val="0"/>
              </c:strCache>
            </c:strRef>
          </c:cat>
          <c:val>
            <c:numRef>
              <c:f>'Turbidity Sweep'!$B$5:$B$8</c:f>
              <c:numCache>
                <c:formatCode>0" kHz"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Turbidity (NTU)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Centre frequency (kHz)</a:t>
                </a:r>
              </a:p>
            </c:rich>
          </c:tx>
          <c:overlay val="0"/>
        </c:title>
        <c:numFmt formatCode="0&quot; kHz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451937870d47c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931e61636045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lianceTable" displayName="ComplianceTable" ref="A5:J13" headerRowCount="1" totalsRowCount="0" totalsRowShown="0">
  <x:tableColumns count="10">
    <x:tableColumn id="1" name="ID"/>
    <x:tableColumn id="2" name="PS clause"/>
    <x:tableColumn id="3" name="Current capability"/>
    <x:tableColumn id="4" name="Finished-product achievement"/>
    <x:tableColumn id="5" name="Where implemented"/>
    <x:tableColumn id="6" name="Verification method"/>
    <x:tableColumn id="7" name="Current / estimated result"/>
    <x:tableColumn id="8" name="Evidence"/>
    <x:tableColumn id="9" name="Status"/>
    <x:tableColumn id="10" name="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" displayName="MetricsTable" ref="A4:H27" headerRowCount="1" totalsRowCount="0" totalsRowShown="0">
  <x:tableColumns count="8">
    <x:tableColumn id="1" name="Metric"/>
    <x:tableColumn id="2" name="Current / estimated"/>
    <x:tableColumn id="3" name="Unit"/>
    <x:tableColumn id="4" name="Finished target"/>
    <x:tableColumn id="5" name="Unit"/>
    <x:tableColumn id="6" name="Provenance"/>
    <x:tableColumn id="7" name="Calculation or condition"/>
    <x:tableColumn id="8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urbidityTable" displayName="TurbidityTable" ref="A4:F8" headerRowCount="1" totalsRowCount="0" totalsRowShown="0">
  <x:tableColumns count="6">
    <x:tableColumn id="1" name="Turbidity NTU"/>
    <x:tableColumn id="2" name="Centre kHz"/>
    <x:tableColumn id="3" name="Bandwidth kHz"/>
    <x:tableColumn id="4" name="Pulse ms"/>
    <x:tableColumn id="5" name="Resolution mm"/>
    <x:tableColumn id="6" name="Usable range 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D11" headerRowCount="1" totalsRowCount="0" totalsRowShown="0">
  <x:tableColumns count="4">
    <x:tableColumn id="1" name="ID"/>
    <x:tableColumn id="2" name="Source"/>
    <x:tableColumn id="3" name="Use"/>
    <x:tableColumn id="4" name="URL or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69c162c9f141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e2422871cf84d07" /><Relationship Type="http://schemas.openxmlformats.org/officeDocument/2006/relationships/table" Target="/xl/tables/table2.xml" Id="R9026af679afd48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c673763a50e41aa" /><Relationship Type="http://schemas.openxmlformats.org/officeDocument/2006/relationships/table" Target="/xl/tables/table3.xml" Id="R72974dc897424b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fad074b01d44d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32" hidden="0" customWidth="1"/>
    <x:col min="5" max="5" width="28" hidden="0" customWidth="1"/>
    <x:col min="6" max="6" width="26" hidden="0" customWidth="1"/>
    <x:col min="7" max="7" width="31" hidden="0" customWidth="1"/>
    <x:col min="8" max="8" width="26" hidden="0" customWidth="1"/>
    <x:col min="9" max="9" width="15" hidden="0" customWidth="1"/>
    <x:col min="10" max="10" width="20" hidden="0" customWidth="1"/>
  </x:cols>
  <x:sheetData>
    <x:row r="1">
      <x:c r="A1" s="2" t="str">
        <x:v>PS 26058 compliance matrix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SeaNergy | SIH 2026 | Current proof, estimated achievement and finished-product acceptance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" t="str">
        <x:v>Status is current. Estimated and target figures remain visible so projected capability is not omitted.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" customHeight="1">
      <x:c r="A5" s="39" t="str">
        <x:v>ID</x:v>
      </x:c>
      <x:c r="B5" s="40" t="str">
        <x:v>PS clause</x:v>
      </x:c>
      <x:c r="C5" s="40" t="str">
        <x:v>Current capability</x:v>
      </x:c>
      <x:c r="D5" s="40" t="str">
        <x:v>Finished-product achievement</x:v>
      </x:c>
      <x:c r="E5" s="40" t="str">
        <x:v>Where implemented</x:v>
      </x:c>
      <x:c r="F5" s="40" t="str">
        <x:v>Verification method</x:v>
      </x:c>
      <x:c r="G5" s="40" t="str">
        <x:v>Current / estimated result</x:v>
      </x:c>
      <x:c r="H5" s="40" t="str">
        <x:v>Evidence</x:v>
      </x:c>
      <x:c r="I5" s="40" t="str">
        <x:v>Status</x:v>
      </x:c>
      <x:c r="J5" s="41" t="str">
        <x:v>Provenance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82" customHeight="1">
      <x:c r="A6" s="42" t="str">
        <x:v>C-01</x:v>
      </x:c>
      <x:c r="B6" s="22" t="str">
        <x:v>Physical, self-contained software-defined sonar transmitter payload</x:v>
      </x:c>
      <x:c r="C6" s="22" t="str">
        <x:v>1 ESP32-S3 bench stack; V1 geometry 168 x 210 x 40 mm; 3,934 facets; 0 immersion tests</x:v>
      </x:c>
      <x:c r="D6" s="22" t="str">
        <x:v>Sealed AUV payload tray with wet interfaces and a 300 m design target</x:v>
      </x:c>
      <x:c r="E6" s="22" t="str">
        <x:v>AUV_Firmware/src/main.cpp; Hyper Grey.stl</x:v>
      </x:c>
      <x:c r="F6" s="22" t="str">
        <x:v>Inspection, powered demo, geometry and immersion test</x:v>
      </x:c>
      <x:c r="G6" s="22" t="str">
        <x:v>1 prototype; 0 water tests</x:v>
      </x:c>
      <x:c r="H6" s="22" t="str">
        <x:v>evidence/C-01_physical-module.png</x:v>
      </x:c>
      <x:c r="I6" s="36" t="str">
        <x:v>Partially met</x:v>
      </x:c>
      <x:c r="J6" s="43" t="str">
        <x:v>Measured + target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82" customHeight="1">
      <x:c r="A7" s="44" t="str">
        <x:v>C-02</x:v>
      </x:c>
      <x:c r="B7" s="25" t="str">
        <x:v>Hardware timers and DMA stream wave-generation arrays to a DAC without stalling the CPU</x:v>
      </x:c>
      <x:c r="C7" s="25" t="str">
        <x:v>DDS/DMA architecture and app core verified; current main.cpp has 0 hardware DMA waveform streams</x:v>
      </x:c>
      <x:c r="D7" s="25" t="str">
        <x:v>1.178 MSa/s sustained output and at least 80% measured transmit-core idle</x:v>
      </x:c>
      <x:c r="E7" s="25" t="str">
        <x:v>SeaNergy/src/core/dsp.ts; firmware architecture</x:v>
      </x:c>
      <x:c r="F7" s="25" t="str">
        <x:v>Known-answer checks, logic analyser and CPU trace</x:v>
      </x:c>
      <x:c r="G7" s="25" t="str">
        <x:v>1.178 MSa/s design; 1.25 MSa/s SPI ceiling; 75-95% estimated idle</x:v>
      </x:c>
      <x:c r="H7" s="25" t="str">
        <x:v>evidence/C-02_dma-throughput.png</x:v>
      </x:c>
      <x:c r="I7" s="37" t="str">
        <x:v>Partially met</x:v>
      </x:c>
      <x:c r="J7" s="45" t="str">
        <x:v>Verified software + estimate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82" customHeight="1">
      <x:c r="A8" s="44" t="str">
        <x:v>C-03</x:v>
      </x:c>
      <x:c r="B8" s="25" t="str">
        <x:v>Multiple modulation types on the fly: LFM, geometric and phase-coded pulses</x:v>
      </x:c>
      <x:c r="C8" s="25" t="str">
        <x:v>CW, LFM, geometric and Barker-13 pass software checks; hardware emits 1 fixed tone</x:v>
      </x:c>
      <x:c r="D8" s="25" t="str">
        <x:v>All 4 modes switchable without recompilation and visible on scope/FFT</x:v>
      </x:c>
      <x:c r="E8" s="25" t="str">
        <x:v>SeaNergy/src/core/dsp.ts; app/(tabs)/wave.tsx</x:v>
      </x:c>
      <x:c r="F8" s="25" t="str">
        <x:v>Mode-by-mode synthesis and render tests</x:v>
      </x:c>
      <x:c r="G8" s="25" t="str">
        <x:v>4 software modes; 1 hardware tone</x:v>
      </x:c>
      <x:c r="H8" s="25" t="str">
        <x:v>evidence/C-03_waveform-modes.png</x:v>
      </x:c>
      <x:c r="I8" s="37" t="str">
        <x:v>Partially met</x:v>
      </x:c>
      <x:c r="J8" s="45" t="str">
        <x:v>Verified software + target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82" customHeight="1">
      <x:c r="A9" s="44" t="str">
        <x:v>C-04</x:v>
      </x:c>
      <x:c r="B9" s="25" t="str">
        <x:v>Real-time environmental data through physical sensors or analog voltage dials</x:v>
      </x:c>
      <x:c r="C9" s="25" t="str">
        <x:v>Temperature, TDS, turbidity and 3 analog controls are read; 33 logged blocks</x:v>
      </x:c>
      <x:c r="D9" s="25" t="str">
        <x:v>Calibrated temperature, salinity, turbidity and depth with fault flags</x:v>
      </x:c>
      <x:c r="E9" s="25" t="str">
        <x:v>AUV_Firmware/src/main.cpp; SeaNergy/src/data/scenarios.ts</x:v>
      </x:c>
      <x:c r="F9" s="25" t="str">
        <x:v>ADC log inspection and live dial injection</x:v>
      </x:c>
      <x:c r="G9" s="25" t="str">
        <x:v>4 environmental inputs; 33 log blocks</x:v>
      </x:c>
      <x:c r="H9" s="25" t="str">
        <x:v>evidence/C-04_sensor-interface.png</x:v>
      </x:c>
      <x:c r="I9" s="37" t="str">
        <x:v>Partially met</x:v>
      </x:c>
      <x:c r="J9" s="45" t="str">
        <x:v>Bench log + target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82" customHeight="1">
      <x:c r="A10" s="44" t="str">
        <x:v>C-05</x:v>
      </x:c>
      <x:c r="B10" s="25" t="str">
        <x:v>Adapt bandwidth/centre frequency, pulse duration and amplitude/signal power</x:v>
      </x:c>
      <x:c r="C10" s="25" t="str">
        <x:v>Water model moves 351 to 148 kHz over 5 to 1,000 NTU; hardware amplitude control remains open</x:v>
      </x:c>
      <x:c r="D10" s="25" t="str">
        <x:v>Automatic four-parameter retuning between pings using calibrated sensor data</x:v>
      </x:c>
      <x:c r="E10" s="25" t="str">
        <x:v>SeaNergy/src/core/adaptation.ts; website/src/data/measurements.ts</x:v>
      </x:c>
      <x:c r="F10" s="25" t="str">
        <x:v>Turbidity sweep and known-answer direction test</x:v>
      </x:c>
      <x:c r="G10" s="25" t="str">
        <x:v>B 299 to 96 kHz; resolution 2.6 to 8.0 mm; pulse max 7.4 ms</x:v>
      </x:c>
      <x:c r="H10" s="25" t="str">
        <x:v>evidence/C-05_adaptation-sweep.png</x:v>
      </x:c>
      <x:c r="I10" s="37" t="str">
        <x:v>Partially met</x:v>
      </x:c>
      <x:c r="J10" s="45" t="str">
        <x:v>Modelled + verified direction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82" customHeight="1">
      <x:c r="A11" s="44" t="str">
        <x:v>C-06</x:v>
      </x:c>
      <x:c r="B11" s="25" t="str">
        <x:v>Analog LPF and op-amp with Hann, Hamming or Blackman digital windowing</x:v>
      </x:c>
      <x:c r="C11" s="25" t="str">
        <x:v>Window PSL verified; LPF and op-amp exist but are uncharacterised</x:v>
      </x:c>
      <x:c r="D11" s="25" t="str">
        <x:v>THD at most 1.0% and SFDR at least 55 dBc across the validated band</x:v>
      </x:c>
      <x:c r="E11" s="25" t="str">
        <x:v>SeaNergy/src/core/dsp.ts; AUV firmware hardware chain</x:v>
      </x:c>
      <x:c r="F11" s="25" t="str">
        <x:v>FFT, frequency response, THD and SFDR sweep</x:v>
      </x:c>
      <x:c r="G11" s="25" t="str">
        <x:v>PSL -13.40 / -31.47 / -44.75 / -58.33 dB</x:v>
      </x:c>
      <x:c r="H11" s="25" t="str">
        <x:v>evidence/C-06_filter-window.png</x:v>
      </x:c>
      <x:c r="I11" s="37" t="str">
        <x:v>Partially met</x:v>
      </x:c>
      <x:c r="J11" s="45" t="str">
        <x:v>Verified DSP + target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82" customHeight="1">
      <x:c r="A12" s="44" t="str">
        <x:v>C-07</x:v>
      </x:c>
      <x:c r="B12" s="25" t="str">
        <x:v>Scope or spectrum-analyser validation of clean, low-distortion spectrograms</x:v>
      </x:c>
      <x:c r="C12" s="25" t="str">
        <x:v>85 physics/core and 33 screen cases pass; 0 of 4 planned scope tests complete</x:v>
      </x:c>
      <x:c r="D12" s="25" t="str">
        <x:v>Verify 165.825-235.000 kHz LFM, 23.81 dB gain, THD at most 1.0% and SFDR at least 55 dBc</x:v>
      </x:c>
      <x:c r="E12" s="25" t="str">
        <x:v>SeaNergy/src/core/__verify__.ts; TX-001 to TX-004</x:v>
      </x:c>
      <x:c r="F12" s="25" t="str">
        <x:v>Scope capture, FFT, distortion and regression</x:v>
      </x:c>
      <x:c r="G12" s="25" t="str">
        <x:v>118 software checks; 0 failures; 0 hardware scope tests</x:v>
      </x:c>
      <x:c r="H12" s="25" t="str">
        <x:v>evidence/C-07_output-validation.png</x:v>
      </x:c>
      <x:c r="I12" s="37" t="str">
        <x:v>Not met</x:v>
      </x:c>
      <x:c r="J12" s="45" t="str">
        <x:v>Verified software + target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82" customHeight="1">
      <x:c r="A13" s="46" t="str">
        <x:v>C-08</x:v>
      </x:c>
      <x:c r="B13" s="47" t="str">
        <x:v>Low-power consumption and hardware-level optimization</x:v>
      </x:c>
      <x:c r="C13" s="47" t="str">
        <x:v>Estimated coastal case: 5.58 mJ/ping and 7.26 h at 10 s using a 2,600 mAh 3S pack</x:v>
      </x:c>
      <x:c r="D13" s="47" t="str">
        <x:v>Measured energy and endurance within 10% of model; at least 80% CPU idle during transmit</x:v>
      </x:c>
      <x:c r="E13" s="47" t="str">
        <x:v>SeaNergy/src/core/power.ts; future INA226 trace</x:v>
      </x:c>
      <x:c r="F13" s="47" t="str">
        <x:v>Current-shunt integration over a ping cycle</x:v>
      </x:c>
      <x:c r="G13" s="47" t="str">
        <x:v>5.58 mJ/ping; 7.26 h; 0.5% transmit duty</x:v>
      </x:c>
      <x:c r="H13" s="47" t="str">
        <x:v>evidence/C-08_power-endurance.png</x:v>
      </x:c>
      <x:c r="I13" s="48" t="str">
        <x:v>Partially met</x:v>
      </x:c>
      <x:c r="J13" s="49" t="str">
        <x:v>Modelled + target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conditionalFormatting sqref="I6:I13">
    <x:cfRule type="containsText" dxfId="0" priority="1" operator="containsText" text="Partially met"/>
    <x:cfRule type="containsText" dxfId="1" priority="2" operator="containsText" text="Not met"/>
    <x:cfRule type="containsText" dxfId="2" priority="3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2f69c162c9f141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31" hidden="0" customWidth="1"/>
    <x:col min="8" max="8" width="28" hidden="0" customWidth="1"/>
  </x:cols>
  <x:sheetData>
    <x:row r="1">
      <x:c r="A1" s="2" t="str">
        <x:v>SeaNergy evidence metrics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Editable calculations separate executed proof from estimates and finished-product targets.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2" t="str">
        <x:v>Metric</x:v>
      </x:c>
      <x:c r="B4" s="52" t="str">
        <x:v>Current / estimated</x:v>
      </x:c>
      <x:c r="C4" s="52" t="str">
        <x:v>Unit</x:v>
      </x:c>
      <x:c r="D4" s="52" t="str">
        <x:v>Finished target</x:v>
      </x:c>
      <x:c r="E4" s="52" t="str">
        <x:v>Unit</x:v>
      </x:c>
      <x:c r="F4" s="52" t="str">
        <x:v>Provenance</x:v>
      </x:c>
      <x:c r="G4" s="52" t="str">
        <x:v>Calculation or condition</x:v>
      </x:c>
      <x:c r="H4" s="52" t="str">
        <x:v>Source</x:v>
      </x:c>
      <x:c r="I4" s="1"/>
      <x:c r="J4" s="6" t="str">
        <x:v>Window</x:v>
      </x:c>
      <x:c r="K4" s="6" t="str">
        <x:v>Peak sidelobe dB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6" customHeight="1">
      <x:c r="A5" s="30" t="str">
        <x:v>Centre-frequency swing</x:v>
      </x:c>
      <x:c r="B5" s="22" t="n">
        <x:f>'Turbidity Sweep'!B5-'Turbidity Sweep'!B8</x:f>
        <x:v>203</x:v>
      </x:c>
      <x:c r="C5" s="22" t="str">
        <x:v>kHz</x:v>
      </x:c>
      <x:c r="D5" s="22" t="n">
        <x:v>200</x:v>
      </x:c>
      <x:c r="E5" s="22" t="str">
        <x:v>kHz minimum</x:v>
      </x:c>
      <x:c r="F5" s="22" t="str">
        <x:v>Modelled</x:v>
      </x:c>
      <x:c r="G5" s="22" t="str">
        <x:v>Clear minus turbid endpoint</x:v>
      </x:c>
      <x:c r="H5" s="23" t="str">
        <x:v>measurements.ts</x:v>
      </x:c>
      <x:c r="I5" s="1"/>
      <x:c r="J5" s="1" t="str">
        <x:v>Rectangular</x:v>
      </x:c>
      <x:c r="K5" s="1" t="n">
        <x:v>-13.3963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1" t="str">
        <x:v>Centre-frequency reduction</x:v>
      </x:c>
      <x:c r="B6" s="53" t="n">
        <x:f>('Turbidity Sweep'!B5-'Turbidity Sweep'!B8)/'Turbidity Sweep'!B5</x:f>
        <x:v>0.5783475783475783</x:v>
      </x:c>
      <x:c r="C6" s="25" t="str">
        <x:v>%</x:v>
      </x:c>
      <x:c r="D6" s="25" t="n">
        <x:v>50</x:v>
      </x:c>
      <x:c r="E6" s="25" t="str">
        <x:v>% minimum</x:v>
      </x:c>
      <x:c r="F6" s="25" t="str">
        <x:v>Calculated</x:v>
      </x:c>
      <x:c r="G6" s="25" t="str">
        <x:v>(clear - turbid) / clear</x:v>
      </x:c>
      <x:c r="H6" s="26" t="str">
        <x:v>measurements.ts</x:v>
      </x:c>
      <x:c r="I6" s="1"/>
      <x:c r="J6" s="1" t="str">
        <x:v>Hann</x:v>
      </x:c>
      <x:c r="K6" s="1" t="n">
        <x:v>-31.468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6" customHeight="1">
      <x:c r="A7" s="31" t="str">
        <x:v>Compressed design resolution</x:v>
      </x:c>
      <x:c r="B7" s="25" t="n">
        <x:v>1.08</x:v>
      </x:c>
      <x:c r="C7" s="25" t="str">
        <x:v>cm</x:v>
      </x:c>
      <x:c r="D7" s="25" t="n">
        <x:v>1.2</x:v>
      </x:c>
      <x:c r="E7" s="25" t="str">
        <x:v>cm maximum</x:v>
      </x:c>
      <x:c r="F7" s="25" t="str">
        <x:v>Calculated</x:v>
      </x:c>
      <x:c r="G7" s="25" t="str">
        <x:v>c / 2B</x:v>
      </x:c>
      <x:c r="H7" s="26" t="str">
        <x:v>defence brief p.26</x:v>
      </x:c>
      <x:c r="I7" s="1"/>
      <x:c r="J7" s="1" t="str">
        <x:v>Hamming</x:v>
      </x:c>
      <x:c r="K7" s="1" t="n">
        <x:v>-44.7519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6" customHeight="1">
      <x:c r="A8" s="31" t="str">
        <x:v>Uncompressed design resolution</x:v>
      </x:c>
      <x:c r="B8" s="25" t="n">
        <x:f>1539*0.003476/2</x:f>
        <x:v>2.674782</x:v>
      </x:c>
      <x:c r="C8" s="25" t="str">
        <x:v>m</x:v>
      </x:c>
      <x:c r="D8" s="25" t="n">
        <x:v>2.5</x:v>
      </x:c>
      <x:c r="E8" s="25" t="str">
        <x:v>m minimum baseline</x:v>
      </x:c>
      <x:c r="F8" s="25" t="str">
        <x:v>Calculated</x:v>
      </x:c>
      <x:c r="G8" s="25" t="str">
        <x:v>c x pulse duration / 2</x:v>
      </x:c>
      <x:c r="H8" s="26" t="str">
        <x:v>defence brief p.26</x:v>
      </x:c>
      <x:c r="I8" s="1"/>
      <x:c r="J8" s="1" t="str">
        <x:v>Blackman</x:v>
      </x:c>
      <x:c r="K8" s="1" t="n">
        <x:v>-58.3263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6" customHeight="1">
      <x:c r="A9" s="31" t="str">
        <x:v>Resolution improvement</x:v>
      </x:c>
      <x:c r="B9" s="25" t="n">
        <x:f>B8*100/B7</x:f>
        <x:v>247.665</x:v>
      </x:c>
      <x:c r="C9" s="25" t="str">
        <x:v>x</x:v>
      </x:c>
      <x:c r="D9" s="25" t="n">
        <x:v>200</x:v>
      </x:c>
      <x:c r="E9" s="25" t="str">
        <x:v>x minimum</x:v>
      </x:c>
      <x:c r="F9" s="25" t="str">
        <x:v>Calculated</x:v>
      </x:c>
      <x:c r="G9" s="25" t="str">
        <x:v>uncompressed / compressed</x:v>
      </x:c>
      <x:c r="H9" s="26" t="str">
        <x:v>physics core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6" customHeight="1">
      <x:c r="A10" s="31" t="str">
        <x:v>Time-bandwidth product</x:v>
      </x:c>
      <x:c r="B10" s="25" t="n">
        <x:f>69.175*3.476</x:f>
        <x:v>240.45229999999998</x:v>
      </x:c>
      <x:c r="C10" s="25" t="str"/>
      <x:c r="D10" s="25" t="n">
        <x:v>200</x:v>
      </x:c>
      <x:c r="E10" s="25" t="str">
        <x:v>minimum</x:v>
      </x:c>
      <x:c r="F10" s="25" t="str">
        <x:v>Calculated</x:v>
      </x:c>
      <x:c r="G10" s="25" t="str">
        <x:v>B x pulse duration</x:v>
      </x:c>
      <x:c r="H10" s="26" t="str">
        <x:v>defence brief p.26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6" customHeight="1">
      <x:c r="A11" s="31" t="str">
        <x:v>Compression gain</x:v>
      </x:c>
      <x:c r="B11" s="25" t="n">
        <x:f>10*LOG10(B10)</x:f>
        <x:v>23.810289355896202</x:v>
      </x:c>
      <x:c r="C11" s="25" t="str">
        <x:v>dB</x:v>
      </x:c>
      <x:c r="D11" s="25" t="n">
        <x:v>23</x:v>
      </x:c>
      <x:c r="E11" s="25" t="str">
        <x:v>dB minimum</x:v>
      </x:c>
      <x:c r="F11" s="25" t="str">
        <x:v>Calculated</x:v>
      </x:c>
      <x:c r="G11" s="25" t="str">
        <x:v>10 log10(TBP)</x:v>
      </x:c>
      <x:c r="H11" s="26" t="str">
        <x:v>physics core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6" customHeight="1">
      <x:c r="A12" s="31" t="str">
        <x:v>Window rejection improvement</x:v>
      </x:c>
      <x:c r="B12" s="25" t="n">
        <x:f>ABS(-58.3263-(-13.3963))</x:f>
        <x:v>44.93000000000001</x:v>
      </x:c>
      <x:c r="C12" s="25" t="str">
        <x:v>dB</x:v>
      </x:c>
      <x:c r="D12" s="25" t="n">
        <x:v>40</x:v>
      </x:c>
      <x:c r="E12" s="25" t="str">
        <x:v>dB minimum</x:v>
      </x:c>
      <x:c r="F12" s="25" t="str">
        <x:v>Verified software</x:v>
      </x:c>
      <x:c r="G12" s="25" t="str">
        <x:v>Blackman minus rectangular</x:v>
      </x:c>
      <x:c r="H12" s="26" t="str">
        <x:v>DSP verification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6" customHeight="1">
      <x:c r="A13" s="31" t="str">
        <x:v>Barker-13 PSLR</x:v>
      </x:c>
      <x:c r="B13" s="25" t="n">
        <x:v>22.2789</x:v>
      </x:c>
      <x:c r="C13" s="25" t="str">
        <x:v>dB</x:v>
      </x:c>
      <x:c r="D13" s="25" t="n">
        <x:v>22</x:v>
      </x:c>
      <x:c r="E13" s="25" t="str">
        <x:v>dB minimum</x:v>
      </x:c>
      <x:c r="F13" s="25" t="str">
        <x:v>Verified software</x:v>
      </x:c>
      <x:c r="G13" s="25" t="str">
        <x:v>20 log10(13 / 1)</x:v>
      </x:c>
      <x:c r="H13" s="26" t="str">
        <x:v>DSP verification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6" customHeight="1">
      <x:c r="A14" s="31" t="str">
        <x:v>Energy per ping</x:v>
      </x:c>
      <x:c r="B14" s="25" t="n">
        <x:v>5.5766304</x:v>
      </x:c>
      <x:c r="C14" s="25" t="str">
        <x:v>mJ</x:v>
      </x:c>
      <x:c r="D14" s="25" t="n">
        <x:v>6.2</x:v>
      </x:c>
      <x:c r="E14" s="25" t="str">
        <x:v>mJ maximum</x:v>
      </x:c>
      <x:c r="F14" s="25" t="str">
        <x:v>Modelled</x:v>
      </x:c>
      <x:c r="G14" s="25" t="str">
        <x:v>Coastal case at 10 s interval</x:v>
      </x:c>
      <x:c r="H14" s="26" t="str">
        <x:v>power.ts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6" customHeight="1">
      <x:c r="A15" s="31" t="str">
        <x:v>Mission endurance</x:v>
      </x:c>
      <x:c r="B15" s="25" t="n">
        <x:v>7.2594899</x:v>
      </x:c>
      <x:c r="C15" s="25" t="str">
        <x:v>h</x:v>
      </x:c>
      <x:c r="D15" s="25" t="n">
        <x:v>6.5</x:v>
      </x:c>
      <x:c r="E15" s="25" t="str">
        <x:v>h minimum</x:v>
      </x:c>
      <x:c r="F15" s="25" t="str">
        <x:v>Modelled</x:v>
      </x:c>
      <x:c r="G15" s="25" t="str">
        <x:v>2,600 mAh 3S; 15% derating</x:v>
      </x:c>
      <x:c r="H15" s="26" t="str">
        <x:v>power.ts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6" customHeight="1">
      <x:c r="A16" s="31" t="str">
        <x:v>Synthesis rate</x:v>
      </x:c>
      <x:c r="B16" s="25" t="n">
        <x:v>1.178</x:v>
      </x:c>
      <x:c r="C16" s="25" t="str">
        <x:v>MSa/s</x:v>
      </x:c>
      <x:c r="D16" s="25" t="n">
        <x:v>1.178</x:v>
      </x:c>
      <x:c r="E16" s="25" t="str">
        <x:v>MSa/s minimum</x:v>
      </x:c>
      <x:c r="F16" s="25" t="str">
        <x:v>Calculated</x:v>
      </x:c>
      <x:c r="G16" s="25" t="str">
        <x:v>4,096 samples / 3.476 ms</x:v>
      </x:c>
      <x:c r="H16" s="26" t="str">
        <x:v>defence brief p.26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6" customHeight="1">
      <x:c r="A17" s="31" t="str">
        <x:v>MCP4922 SPI ceiling</x:v>
      </x:c>
      <x:c r="B17" s="25" t="n">
        <x:v>1.25</x:v>
      </x:c>
      <x:c r="C17" s="25" t="str">
        <x:v>MSa/s</x:v>
      </x:c>
      <x:c r="D17" s="25" t="n">
        <x:v>1.25</x:v>
      </x:c>
      <x:c r="E17" s="25" t="str">
        <x:v>MSa/s</x:v>
      </x:c>
      <x:c r="F17" s="25" t="str">
        <x:v>Datasheet calculation</x:v>
      </x:c>
      <x:c r="G17" s="25" t="str">
        <x:v>20 MHz / 16 bits</x:v>
      </x:c>
      <x:c r="H17" s="26" t="str">
        <x:v>defence brief p.26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6" customHeight="1">
      <x:c r="A18" s="31" t="str">
        <x:v>SPI bus utilisation</x:v>
      </x:c>
      <x:c r="B18" s="53" t="n">
        <x:f>B16/B17</x:f>
        <x:v>0.9423999999999999</x:v>
      </x:c>
      <x:c r="C18" s="25" t="str">
        <x:v>%</x:v>
      </x:c>
      <x:c r="D18" s="25" t="n">
        <x:v>95</x:v>
      </x:c>
      <x:c r="E18" s="25" t="str">
        <x:v>% maximum</x:v>
      </x:c>
      <x:c r="F18" s="25" t="str">
        <x:v>Calculated</x:v>
      </x:c>
      <x:c r="G18" s="25" t="str">
        <x:v>synthesis rate / bus ceiling</x:v>
      </x:c>
      <x:c r="H18" s="26" t="str">
        <x:v>defence brief p.26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6" customHeight="1">
      <x:c r="A19" s="31" t="str">
        <x:v>Transmit-core idle estimate</x:v>
      </x:c>
      <x:c r="B19" s="53" t="n">
        <x:f>1-(5*B16*1000000*6)/240000000</x:f>
        <x:v>0.85275</x:v>
      </x:c>
      <x:c r="C19" s="25" t="str">
        <x:v>%</x:v>
      </x:c>
      <x:c r="D19" s="25" t="n">
        <x:v>80</x:v>
      </x:c>
      <x:c r="E19" s="25" t="str">
        <x:v>% minimum</x:v>
      </x:c>
      <x:c r="F19" s="25" t="str">
        <x:v>Estimated</x:v>
      </x:c>
      <x:c r="G19" s="25" t="str">
        <x:v>5 integer ops/sample; 6 cycles/op; 240 MHz</x:v>
      </x:c>
      <x:c r="H19" s="26" t="str">
        <x:v>firmware architecture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36" customHeight="1">
      <x:c r="A20" s="31" t="str">
        <x:v>Ideal 12-bit SQNR</x:v>
      </x:c>
      <x:c r="B20" s="25" t="n">
        <x:f>6.02*12+1.76</x:f>
        <x:v>74</x:v>
      </x:c>
      <x:c r="C20" s="25" t="str">
        <x:v>dB</x:v>
      </x:c>
      <x:c r="D20" s="25" t="n">
        <x:v>70</x:v>
      </x:c>
      <x:c r="E20" s="25" t="str">
        <x:v>dB minimum</x:v>
      </x:c>
      <x:c r="F20" s="25" t="str">
        <x:v>Calculated</x:v>
      </x:c>
      <x:c r="G20" s="25" t="str">
        <x:v>6.02N + 1.76</x:v>
      </x:c>
      <x:c r="H20" s="26" t="str">
        <x:v>converter calculation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6" customHeight="1">
      <x:c r="A21" s="31" t="str">
        <x:v>THD</x:v>
      </x:c>
      <x:c r="B21" s="25"/>
      <x:c r="C21" s="25" t="str">
        <x:v>dB</x:v>
      </x:c>
      <x:c r="D21" s="25" t="n">
        <x:v>-40</x:v>
      </x:c>
      <x:c r="E21" s="25" t="str">
        <x:v>dB maximum</x:v>
      </x:c>
      <x:c r="F21" s="25" t="str">
        <x:v>Target</x:v>
      </x:c>
      <x:c r="G21" s="25" t="str">
        <x:v>1.0% distortion target</x:v>
      </x:c>
      <x:c r="H21" s="26" t="str">
        <x:v>TX-003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6" customHeight="1">
      <x:c r="A22" s="31" t="str">
        <x:v>SFDR</x:v>
      </x:c>
      <x:c r="B22" s="25"/>
      <x:c r="C22" s="25" t="str">
        <x:v>dBc</x:v>
      </x:c>
      <x:c r="D22" s="25" t="n">
        <x:v>55</x:v>
      </x:c>
      <x:c r="E22" s="25" t="str">
        <x:v>dBc minimum</x:v>
      </x:c>
      <x:c r="F22" s="25" t="str">
        <x:v>Target</x:v>
      </x:c>
      <x:c r="G22" s="25" t="str">
        <x:v>Scope/FFT acceptance</x:v>
      </x:c>
      <x:c r="H22" s="26" t="str">
        <x:v>TX-004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6" customHeight="1">
      <x:c r="A23" s="31" t="str">
        <x:v>Application screens</x:v>
      </x:c>
      <x:c r="B23" s="25" t="n">
        <x:v>12</x:v>
      </x:c>
      <x:c r="C23" s="25" t="str">
        <x:v>screens</x:v>
      </x:c>
      <x:c r="D23" s="25" t="n">
        <x:v>12</x:v>
      </x:c>
      <x:c r="E23" s="25" t="str">
        <x:v>screens</x:v>
      </x:c>
      <x:c r="F23" s="25" t="str">
        <x:v>Executed</x:v>
      </x:c>
      <x:c r="G23" s="25" t="str">
        <x:v>Mounted in simulation and telemetry</x:v>
      </x:c>
      <x:c r="H23" s="26" t="str">
        <x:v>screens.test.tsx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36" customHeight="1">
      <x:c r="A24" s="31" t="str">
        <x:v>Physics and core checks</x:v>
      </x:c>
      <x:c r="B24" s="25" t="n">
        <x:v>85</x:v>
      </x:c>
      <x:c r="C24" s="25" t="str">
        <x:v>checks</x:v>
      </x:c>
      <x:c r="D24" s="25" t="n">
        <x:v>85</x:v>
      </x:c>
      <x:c r="E24" s="25" t="str">
        <x:v>checks minimum</x:v>
      </x:c>
      <x:c r="F24" s="25" t="str">
        <x:v>Executed</x:v>
      </x:c>
      <x:c r="G24" s="25" t="str">
        <x:v>0 failures</x:v>
      </x:c>
      <x:c r="H24" s="26" t="str">
        <x:v>__verify__.ts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6" customHeight="1">
      <x:c r="A25" s="31" t="str">
        <x:v>Screen test cases</x:v>
      </x:c>
      <x:c r="B25" s="25" t="n">
        <x:v>33</x:v>
      </x:c>
      <x:c r="C25" s="25" t="str">
        <x:v>cases</x:v>
      </x:c>
      <x:c r="D25" s="25" t="n">
        <x:v>33</x:v>
      </x:c>
      <x:c r="E25" s="25" t="str">
        <x:v>cases minimum</x:v>
      </x:c>
      <x:c r="F25" s="25" t="str">
        <x:v>Executed</x:v>
      </x:c>
      <x:c r="G25" s="25" t="str">
        <x:v>0 failures</x:v>
      </x:c>
      <x:c r="H25" s="26" t="str">
        <x:v>screens.test.tsx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36" customHeight="1">
      <x:c r="A26" s="31" t="str">
        <x:v>Current bench BOM midpoint</x:v>
      </x:c>
      <x:c r="B26" s="54" t="n">
        <x:f>(2500+4500)/2</x:f>
        <x:v>3500</x:v>
      </x:c>
      <x:c r="C26" s="25" t="str">
        <x:v>INR</x:v>
      </x:c>
      <x:c r="D26" s="54" t="n">
        <x:v>4500</x:v>
      </x:c>
      <x:c r="E26" s="25" t="str">
        <x:v>INR ceiling</x:v>
      </x:c>
      <x:c r="F26" s="25" t="str">
        <x:v>Estimated</x:v>
      </x:c>
      <x:c r="G26" s="25" t="str">
        <x:v>Midpoint of INR 2,500-4,500</x:v>
      </x:c>
      <x:c r="H26" s="26" t="str">
        <x:v>defence brief p.41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36" customHeight="1">
      <x:c r="A27" s="32" t="str">
        <x:v>Marine payload planning cost</x:v>
      </x:c>
      <x:c r="B27" s="55" t="n">
        <x:v>36000</x:v>
      </x:c>
      <x:c r="C27" s="28" t="str">
        <x:v>INR</x:v>
      </x:c>
      <x:c r="D27" s="55" t="n">
        <x:v>36000</x:v>
      </x:c>
      <x:c r="E27" s="28" t="str">
        <x:v>INR planning</x:v>
      </x:c>
      <x:c r="F27" s="28" t="str">
        <x:v>Estimated</x:v>
      </x:c>
      <x:c r="G27" s="28" t="str">
        <x:v>Vendor quotations required</x:v>
      </x:c>
      <x:c r="H27" s="29" t="str">
        <x:v>SIH ONE planning breakdown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  <x:drawing xmlns:r="http://schemas.openxmlformats.org/officeDocument/2006/relationships" r:id="R1e2422871cf84d07"/>
  <x:tableParts count="1">
    <x:tablePart xmlns:r="http://schemas.openxmlformats.org/officeDocument/2006/relationships" r:id="R9026af679afd48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 t="str">
        <x:v>Estimated water adaptation sweep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6" t="str">
        <x:v>All rows are model output. The controlled tank campaign will replace these values with measured results.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6" customHeight="1">
      <x:c r="A4" s="57" t="str">
        <x:v>Turbidity NTU</x:v>
      </x:c>
      <x:c r="B4" s="57" t="str">
        <x:v>Centre kHz</x:v>
      </x:c>
      <x:c r="C4" s="57" t="str">
        <x:v>Bandwidth kHz</x:v>
      </x:c>
      <x:c r="D4" s="57" t="str">
        <x:v>Pulse ms</x:v>
      </x:c>
      <x:c r="E4" s="57" t="str">
        <x:v>Resolution mm</x:v>
      </x:c>
      <x:c r="F4" s="57" t="str">
        <x:v>Usable range m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6" customHeight="1">
      <x:c r="A5" s="58" t="n">
        <x:v>5</x:v>
      </x:c>
      <x:c r="B5" s="59" t="n">
        <x:v>351</x:v>
      </x:c>
      <x:c r="C5" s="59" t="n">
        <x:v>299</x:v>
      </x:c>
      <x:c r="D5" s="59" t="n">
        <x:v>0.5</x:v>
      </x:c>
      <x:c r="E5" s="59" t="n">
        <x:v>2.6</x:v>
      </x:c>
      <x:c r="F5" s="60" t="n">
        <x:v>365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6" customHeight="1">
      <x:c r="A6" s="61" t="n">
        <x:v>180</x:v>
      </x:c>
      <x:c r="B6" s="62" t="n">
        <x:v>351</x:v>
      </x:c>
      <x:c r="C6" s="62" t="n">
        <x:v>299</x:v>
      </x:c>
      <x:c r="D6" s="62" t="n">
        <x:v>0.5</x:v>
      </x:c>
      <x:c r="E6" s="62" t="n">
        <x:v>2.6</x:v>
      </x:c>
      <x:c r="F6" s="63" t="n">
        <x:v>275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6" customHeight="1">
      <x:c r="A7" s="61" t="n">
        <x:v>550</x:v>
      </x:c>
      <x:c r="B7" s="62" t="n">
        <x:v>275</x:v>
      </x:c>
      <x:c r="C7" s="62" t="n">
        <x:v>247</x:v>
      </x:c>
      <x:c r="D7" s="62" t="n">
        <x:v>7.4</x:v>
      </x:c>
      <x:c r="E7" s="62" t="n">
        <x:v>3.1</x:v>
      </x:c>
      <x:c r="F7" s="63" t="n">
        <x:v>252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6" customHeight="1">
      <x:c r="A8" s="64" t="n">
        <x:v>1000</x:v>
      </x:c>
      <x:c r="B8" s="65" t="n">
        <x:v>148</x:v>
      </x:c>
      <x:c r="C8" s="65" t="n">
        <x:v>96</x:v>
      </x:c>
      <x:c r="D8" s="65" t="n">
        <x:v>2.8</x:v>
      </x:c>
      <x:c r="E8" s="65" t="n">
        <x:v>8</x:v>
      </x:c>
      <x:c r="F8" s="66" t="n">
        <x:v>294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  <x:drawing xmlns:r="http://schemas.openxmlformats.org/officeDocument/2006/relationships" r:id="Rec673763a50e41aa"/>
  <x:tableParts count="1">
    <x:tablePart xmlns:r="http://schemas.openxmlformats.org/officeDocument/2006/relationships" r:id="R72974dc897424b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8" hidden="0" customWidth="1"/>
  </x:cols>
  <x:sheetData>
    <x:row r="1">
      <x:c r="A1" s="2" t="str">
        <x:v>Sources and assumptions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Repository-relative paths are retained because the compliance matrix must identify implementation evidence.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7" t="str">
        <x:v>ID</x:v>
      </x:c>
      <x:c r="B4" s="57" t="str">
        <x:v>Source</x:v>
      </x:c>
      <x:c r="C4" s="57" t="str">
        <x:v>Use</x:v>
      </x:c>
      <x:c r="D4" s="57" t="str">
        <x:v>URL or reference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6" customHeight="1">
      <x:c r="A5" s="21" t="str">
        <x:v>S-01</x:v>
      </x:c>
      <x:c r="B5" s="22" t="str">
        <x:v>SIH 2026 problem statement 26058</x:v>
      </x:c>
      <x:c r="C5" s="22" t="str">
        <x:v>Required clauses and deliverables</x:v>
      </x:c>
      <x:c r="D5" s="23" t="str">
        <x:v>https://sihone.pages.dev/ps/26058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24" t="str">
        <x:v>S-02</x:v>
      </x:c>
      <x:c r="B6" s="25" t="str">
        <x:v>SeaNergy code and executed tests</x:v>
      </x:c>
      <x:c r="C6" s="25" t="str">
        <x:v>Current implementation and verification</x:v>
      </x:c>
      <x:c r="D6" s="26" t="str">
        <x:v>D:/lab/daa/SeaNergy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6" customHeight="1">
      <x:c r="A7" s="24" t="str">
        <x:v>S-03</x:v>
      </x:c>
      <x:c r="B7" s="25" t="str">
        <x:v>SeaNergy defence brief</x:v>
      </x:c>
      <x:c r="C7" s="25" t="str">
        <x:v>Re-derived design case and reality ledger</x:v>
      </x:c>
      <x:c r="D7" s="26" t="str">
        <x:v>D:/lab/daa/SeaNergy-Defence-Brief.pdf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6" customHeight="1">
      <x:c r="A8" s="24" t="str">
        <x:v>S-04</x:v>
      </x:c>
      <x:c r="B8" s="25" t="str">
        <x:v>Mackenzie 1981</x:v>
      </x:c>
      <x:c r="C8" s="25" t="str">
        <x:v>Ocean sound speed</x:v>
      </x:c>
      <x:c r="D8" s="26" t="str">
        <x:v>https://doi.org/10.1121/1.386920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6" customHeight="1">
      <x:c r="A9" s="24" t="str">
        <x:v>S-05</x:v>
      </x:c>
      <x:c r="B9" s="25" t="str">
        <x:v>Thorp 1967</x:v>
      </x:c>
      <x:c r="C9" s="25" t="str">
        <x:v>Seawater absorption</x:v>
      </x:c>
      <x:c r="D9" s="26" t="str">
        <x:v>https://doi.org/10.1121/1.1910566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6" customHeight="1">
      <x:c r="A10" s="24" t="str">
        <x:v>S-06</x:v>
      </x:c>
      <x:c r="B10" s="25" t="str">
        <x:v>Harris 1978</x:v>
      </x:c>
      <x:c r="C10" s="25" t="str">
        <x:v>Window sidelobe trade-offs</x:v>
      </x:c>
      <x:c r="D10" s="26" t="str">
        <x:v>https://doi.org/10.1109/PROC.1978.10837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6" customHeight="1">
      <x:c r="A11" s="27" t="str">
        <x:v>S-07</x:v>
      </x:c>
      <x:c r="B11" s="28" t="str">
        <x:v>Power model assumptions</x:v>
      </x:c>
      <x:c r="C11" s="28" t="str">
        <x:v>2,600 mAh 3S pack; 15% derating; 10 s interval</x:v>
      </x:c>
      <x:c r="D11" s="29" t="str">
        <x:v>SeaNergy/src/core/power.ts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pageMargins left="0.7" right="0.7" top="0.75" bottom="0.75" header="0.3" footer="0.3"/>
  <x:tableParts count="1">
    <x:tablePart xmlns:r="http://schemas.openxmlformats.org/officeDocument/2006/relationships" r:id="Rc8fad074b01d44de"/>
  </x:tableParts>
</x:worksheet>
</file>