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1ff2d6451c4f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12fe8673d5f4e09"/>
    <x:sheet xmlns:r="http://schemas.openxmlformats.org/officeDocument/2006/relationships" name="Assumptions" sheetId="2" r:id="R784c8ef001ae4deb"/>
    <x:sheet xmlns:r="http://schemas.openxmlformats.org/officeDocument/2006/relationships" name="Market Sizing" sheetId="3" r:id="R70a35e0eb68c46cf"/>
    <x:sheet xmlns:r="http://schemas.openxmlformats.org/officeDocument/2006/relationships" name="Unit Economics" sheetId="4" r:id="R1c5a5e5d84ec4c6a"/>
    <x:sheet xmlns:r="http://schemas.openxmlformats.org/officeDocument/2006/relationships" name="Sources" sheetId="5" r:id="Rff08f7ab044648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[$INR] #,##0"/>
    <x:numFmt numFmtId="202" formatCode="0.0%"/>
    <x:numFmt numFmtId="203" formatCode="0.0"/>
    <x:numFmt numFmtId="204" formatCode="0.0000"/>
  </x:numFmts>
  <x:fonts count="6">
    <x:font>
      <x:sz val="11"/>
      <x:name val="Carlito"/>
    </x:font>
    <x:font>
      <x:b/>
      <x:sz val="20"/>
      <x:color rgb="FFFFFFFF"/>
      <x:name val="Times New Roman"/>
    </x:font>
    <x:font>
      <x:i/>
      <x:sz val="10"/>
      <x:color rgb="FF556574"/>
      <x:name val="Times New Roman"/>
    </x:font>
    <x:font>
      <x:b/>
      <x:sz val="10"/>
      <x:color rgb="FFFFFFFF"/>
      <x:name val="Times New Roman"/>
    </x:font>
    <x:font>
      <x:sz val="10"/>
      <x:color rgb="FF17212B"/>
      <x:name val="Times New Roman"/>
    </x:font>
    <x:font>
      <x:b/>
      <x:sz val="12"/>
      <x:color rgb="FF0B1F33"/>
      <x:name val="Times New Roman"/>
    </x:font>
  </x:fonts>
  <x:fills count="6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0E7490"/>
      </x:patternFill>
    </x:fill>
    <x:fill>
      <x:patternFill patternType="solid">
        <x:fgColor rgb="FFF3EEE4"/>
      </x:patternFill>
    </x:fill>
    <x:fill>
      <x:patternFill patternType="solid">
        <x:fgColor rgb="FFE8F4F5"/>
      </x:patternFill>
    </x:fill>
  </x:fills>
  <x:borders count="4">
    <x:border/>
    <x:border>
      <x:left style="thin">
        <x:color rgb="FFC9D5DC"/>
      </x:left>
      <x:right style="thin">
        <x:color rgb="FFC9D5DC"/>
      </x:right>
      <x:top style="thin">
        <x:color rgb="FFC9D5DC"/>
      </x:top>
      <x:bottom style="thin">
        <x:color rgb="FFC9D5DC"/>
      </x:bottom>
    </x:border>
    <x:border>
      <x:bottom style="double">
        <x:color rgb="FF0E7490"/>
      </x:bottom>
    </x:border>
    <x:border>
      <x:left style="thin">
        <x:color rgb="FFC9D5DC"/>
      </x:left>
      <x:right style="thin">
        <x:color rgb="FFC9D5DC"/>
      </x:right>
      <x:top style="thin">
        <x:color rgb="FFC9D5DC"/>
      </x:top>
      <x:bottom style="double">
        <x:color rgb="FF0E7490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202" fontId="4" fillId="0" borderId="1" xfId="0" applyNumberFormat="1" applyFont="1" applyFill="1" applyBorder="1" applyAlignment="1">
      <x:alignment vertical="top" wrapText="1"/>
    </x:xf>
    <x:xf numFmtId="203" fontId="4" fillId="0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204" fontId="4" fillId="4" borderId="1" xfId="0" applyNumberFormat="1" applyFont="1" applyFill="1" applyBorder="1" applyAlignment="1">
      <x:alignment vertical="top" wrapText="1"/>
    </x:xf>
    <x:xf numFmtId="200" fontId="4" fillId="4" borderId="1" xfId="0" applyNumberFormat="1" applyFont="1" applyFill="1" applyBorder="1" applyAlignment="1">
      <x:alignment vertical="top" wrapText="1"/>
    </x:xf>
    <x:xf numFmtId="201" fontId="4" fillId="4" borderId="1" xfId="0" applyNumberFormat="1" applyFont="1" applyFill="1" applyBorder="1" applyAlignment="1">
      <x:alignment vertical="top" wrapText="1"/>
    </x:xf>
    <x:xf numFmtId="202" fontId="4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200" fontId="5" fillId="5" borderId="2" xfId="0" applyNumberFormat="1" applyFont="1" applyFill="1" applyBorder="1"/>
    <x:xf numFmtId="200" fontId="0" fillId="0" borderId="0" xfId="0" applyNumberFormat="1" applyFont="1" applyFill="1" applyBorder="1"/>
    <x:xf numFmtId="200" fontId="3" fillId="3" borderId="1" xfId="0" applyNumberFormat="1" applyFont="1" applyFill="1" applyBorder="1" applyAlignment="1">
      <x:alignment vertical="center" wrapText="1"/>
    </x:xf>
    <x:xf numFmtId="202" fontId="5" fillId="5" borderId="2" xfId="0" applyNumberFormat="1" applyFont="1" applyFill="1" applyBorder="1"/>
    <x:xf numFmtId="0" fontId="4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5" fillId="5" borderId="3" xfId="0" applyNumberFormat="1" applyFont="1" applyFill="1" applyBorder="1" applyAlignment="1">
      <x:alignment vertical="top" wrapText="1"/>
    </x:xf>
    <x:xf numFmtId="201" fontId="5" fillId="5" borderId="3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2" fontId="5" fillId="5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2587c5f2164017" /><Relationship Type="http://schemas.openxmlformats.org/officeDocument/2006/relationships/theme" Target="/xl/theme/theme1.xml" Id="R6421e4902f5f405e" /><Relationship Type="http://schemas.openxmlformats.org/officeDocument/2006/relationships/sharedStrings" Target="/xl/sharedStrings.xml" Id="Rebd04dd3c1464e3f" /><Relationship Type="http://schemas.openxmlformats.org/officeDocument/2006/relationships/worksheet" Target="/xl/worksheets/sheet1.xml" Id="R312fe8673d5f4e09" /><Relationship Type="http://schemas.openxmlformats.org/officeDocument/2006/relationships/worksheet" Target="/xl/worksheets/sheet2.xml" Id="R784c8ef001ae4deb" /><Relationship Type="http://schemas.openxmlformats.org/officeDocument/2006/relationships/worksheet" Target="/xl/worksheets/sheet3.xml" Id="R70a35e0eb68c46cf" /><Relationship Type="http://schemas.openxmlformats.org/officeDocument/2006/relationships/worksheet" Target="/xl/worksheets/sheet4.xml" Id="R1c5a5e5d84ec4c6a" /><Relationship Type="http://schemas.openxmlformats.org/officeDocument/2006/relationships/worksheet" Target="/xl/worksheets/sheet5.xml" Id="Rff08f7ab044648c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3537efdfe724e6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Five-year revenue ramp (INR crore)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Revenue (INR crore)</c:v>
          </c:tx>
          <c:cat>
            <c:strRef>
              <c:f>'Summary'!$A$13:$A$17</c:f>
              <c:strCache>
                <c:ptCount val="0"/>
              </c:strCache>
            </c:strRef>
          </c:cat>
          <c:val>
            <c:numRef>
              <c:f>'Summary'!$D$13:$D$17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19</xdr:row>
      <xdr:rowOff>0</xdr:rowOff>
    </xdr:from>
    <xdr:to>
      <xdr:col>8</xdr:col>
      <xdr:colOff>0</xdr:colOff>
      <xdr:row>37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3537efdfe724e6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944a3b6661847c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5" hidden="0" customWidth="1"/>
    <x:col min="3" max="3" width="18" hidden="0" customWidth="1"/>
    <x:col min="4" max="4" width="28" hidden="0" customWidth="1"/>
    <x:col min="5" max="5" width="24" hidden="0" customWidth="1"/>
    <x:col min="6" max="6" width="18" hidden="0" customWidth="1"/>
    <x:col min="7" max="7" width="14" hidden="0" customWidth="1"/>
    <x:col min="8" max="8" width="25" hidden="0" customWidth="1"/>
  </x:cols>
  <x:sheetData>
    <x:row r="1" ht="36" customHeight="1">
      <x:c r="A1" s="3" t="str">
        <x:v>SeaNergy commercial model</x:v>
      </x:c>
      <x:c r="B1" s="3" t="str">
        <x:v>SeaNergy commercial model</x:v>
      </x:c>
      <x:c r="C1" s="3" t="str">
        <x:v>SeaNergy commercial model</x:v>
      </x:c>
      <x:c r="D1" s="3" t="str">
        <x:v>SeaNergy commercial model</x:v>
      </x:c>
      <x:c r="E1" s="3" t="str">
        <x:v>SeaNergy commercial model</x:v>
      </x:c>
      <x:c r="F1" s="3" t="str">
        <x:v>SeaNergy commercial model</x:v>
      </x:c>
      <x:c r="G1" s="3" t="str">
        <x:v>SeaNergy commercial model</x:v>
      </x:c>
      <x:c r="H1" s="3" t="str">
        <x:v>SeaNergy commercial model</x:v>
      </x:c>
    </x:row>
    <x:row r="2" ht="36" customHeight="1">
      <x:c r="A2" s="3" t="str">
        <x:v>SeaNergy commercial model</x:v>
      </x:c>
      <x:c r="B2" s="3" t="str">
        <x:v>SeaNergy commercial model</x:v>
      </x:c>
      <x:c r="C2" s="3" t="str">
        <x:v>SeaNergy commercial model</x:v>
      </x:c>
      <x:c r="D2" s="3" t="str">
        <x:v>SeaNergy commercial model</x:v>
      </x:c>
      <x:c r="E2" s="3" t="str">
        <x:v>SeaNergy commercial model</x:v>
      </x:c>
      <x:c r="F2" s="3" t="str">
        <x:v>SeaNergy commercial model</x:v>
      </x:c>
      <x:c r="G2" s="3" t="str">
        <x:v>SeaNergy commercial model</x:v>
      </x:c>
      <x:c r="H2" s="3" t="str">
        <x:v>SeaNergy commercial model</x:v>
      </x:c>
    </x:row>
    <x:row r="3">
      <x:c r="A3" s="4" t="str">
        <x:v>INR model | SIH 2026 | FX and assumptions are editable</x:v>
      </x:c>
    </x:row>
    <x:row r="6" ht="25" customHeight="1">
      <x:c r="A6" s="9" t="str">
        <x:v>Metric</x:v>
      </x:c>
      <x:c r="B6" s="9" t="str">
        <x:v>Value</x:v>
      </x:c>
      <x:c r="C6" s="9" t="str">
        <x:v>Unit</x:v>
      </x:c>
      <x:c r="D6" s="9" t="str">
        <x:v>Basis</x:v>
      </x:c>
      <x:c r="E6" s="9" t="str">
        <x:v>Metric</x:v>
      </x:c>
      <x:c r="F6" s="9" t="str">
        <x:v>Value</x:v>
      </x:c>
      <x:c r="G6" s="9" t="str">
        <x:v>Unit</x:v>
      </x:c>
      <x:c r="H6" s="9" t="str">
        <x:v>Basis</x:v>
      </x:c>
    </x:row>
    <x:row r="7">
      <x:c r="A7" s="13" t="str">
        <x:v>Global TAM</x:v>
      </x:c>
      <x:c r="B7" s="14" t="n">
        <x:f>'Market Sizing'!E6</x:f>
        <x:v>452.2982625000001</x:v>
      </x:c>
      <x:c r="C7" s="13" t="str">
        <x:v>INR crore</x:v>
      </x:c>
      <x:c r="D7" s="13" t="str">
        <x:v>Narrow 2025 side-scan category</x:v>
      </x:c>
      <x:c r="E7" s="13" t="str">
        <x:v>India SAM</x:v>
      </x:c>
      <x:c r="F7" s="14" t="n">
        <x:f>'Market Sizing'!D16</x:f>
        <x:v>31.92</x:v>
      </x:c>
      <x:c r="G7" s="13" t="str">
        <x:v>INR crore</x:v>
      </x:c>
      <x:c r="H7" s="13" t="str">
        <x:v>Bottom-up 5-year</x:v>
      </x:c>
    </x:row>
    <x:row r="8">
      <x:c r="A8" s="13" t="str">
        <x:v>Five-year SOM</x:v>
      </x:c>
      <x:c r="B8" s="14" t="n">
        <x:f>'Market Sizing'!D25</x:f>
        <x:v>6.609999999999999</x:v>
      </x:c>
      <x:c r="C8" s="13" t="str">
        <x:v>INR crore</x:v>
      </x:c>
      <x:c r="D8" s="13" t="str">
        <x:v>Qualification-led ramp</x:v>
      </x:c>
      <x:c r="E8" s="13" t="str">
        <x:v>Gross margin</x:v>
      </x:c>
      <x:c r="F8" s="16" t="n">
        <x:f>'Unit Economics'!B20</x:f>
        <x:v>0.3966769230769231</x:v>
      </x:c>
      <x:c r="G8" s="13" t="str">
        <x:v>%</x:v>
      </x:c>
      <x:c r="H8" s="13" t="str">
        <x:v>Target unit</x:v>
      </x:c>
    </x:row>
    <x:row r="9">
      <x:c r="A9" s="13" t="str">
        <x:v>Target price</x:v>
      </x:c>
      <x:c r="B9" s="15" t="n">
        <x:f>'Unit Economics'!B18</x:f>
        <x:v>195000</x:v>
      </x:c>
      <x:c r="C9" s="13" t="str">
        <x:v>INR</x:v>
      </x:c>
      <x:c r="D9" s="13" t="str">
        <x:v>Ex-GST</x:v>
      </x:c>
      <x:c r="E9" s="13" t="str">
        <x:v>COGS</x:v>
      </x:c>
      <x:c r="F9" s="15" t="n">
        <x:f>'Unit Economics'!B17</x:f>
        <x:v>117648</x:v>
      </x:c>
      <x:c r="G9" s="13" t="str">
        <x:v>INR</x:v>
      </x:c>
      <x:c r="H9" s="13" t="str">
        <x:v>Per unit</x:v>
      </x:c>
    </x:row>
    <x:row r="12" ht="25" customHeight="1">
      <x:c r="A12" s="9" t="str">
        <x:v>Year</x:v>
      </x:c>
      <x:c r="B12" s="9" t="str">
        <x:v>Units</x:v>
      </x:c>
      <x:c r="C12" s="9" t="str">
        <x:v>ASP (INR lakh)</x:v>
      </x:c>
      <x:c r="D12" s="9" t="str">
        <x:v>Revenue (INR crore)</x:v>
      </x:c>
      <x:c r="E12" s="9" t="str">
        <x:v>Cumulative revenue</x:v>
      </x:c>
      <x:c r="F12" s="9" t="str">
        <x:v>Stage</x:v>
      </x:c>
    </x:row>
    <x:row r="13">
      <x:c r="A13" s="13" t="str">
        <x:v>Y1</x:v>
      </x:c>
      <x:c r="B13" s="13" t="n">
        <x:v>1</x:v>
      </x:c>
      <x:c r="C13" s="17" t="n">
        <x:v>15</x:v>
      </x:c>
      <x:c r="D13" s="14" t="n">
        <x:f>B13*C13/100</x:f>
        <x:v>0.15</x:v>
      </x:c>
      <x:c r="E13" s="14" t="n">
        <x:f>SUM($D$13:D13)</x:f>
        <x:v>0.15</x:v>
      </x:c>
      <x:c r="F13" s="13" t="str">
        <x:v>Evaluation</x:v>
      </x:c>
    </x:row>
    <x:row r="14">
      <x:c r="A14" s="13" t="str">
        <x:v>Y2</x:v>
      </x:c>
      <x:c r="B14" s="13" t="n">
        <x:v>3</x:v>
      </x:c>
      <x:c r="C14" s="17" t="n">
        <x:v>16</x:v>
      </x:c>
      <x:c r="D14" s="14" t="n">
        <x:f>B14*C14/100</x:f>
        <x:v>0.48</x:v>
      </x:c>
      <x:c r="E14" s="14" t="n">
        <x:f>SUM($D$13:D14)</x:f>
        <x:v>0.63</x:v>
      </x:c>
      <x:c r="F14" s="13" t="str">
        <x:v>Paid pilots</x:v>
      </x:c>
    </x:row>
    <x:row r="15">
      <x:c r="A15" s="13" t="str">
        <x:v>Y3</x:v>
      </x:c>
      <x:c r="B15" s="13" t="n">
        <x:v>6</x:v>
      </x:c>
      <x:c r="C15" s="17" t="n">
        <x:v>18</x:v>
      </x:c>
      <x:c r="D15" s="14" t="n">
        <x:f>B15*C15/100</x:f>
        <x:v>1.08</x:v>
      </x:c>
      <x:c r="E15" s="14" t="n">
        <x:f>SUM($D$13:D15)</x:f>
        <x:v>1.71</x:v>
      </x:c>
      <x:c r="F15" s="13" t="str">
        <x:v>Qualified pilots</x:v>
      </x:c>
    </x:row>
    <x:row r="16">
      <x:c r="A16" s="13" t="str">
        <x:v>Y4</x:v>
      </x:c>
      <x:c r="B16" s="13" t="n">
        <x:v>10</x:v>
      </x:c>
      <x:c r="C16" s="17" t="n">
        <x:v>19</x:v>
      </x:c>
      <x:c r="D16" s="14" t="n">
        <x:f>B16*C16/100</x:f>
        <x:v>1.9</x:v>
      </x:c>
      <x:c r="E16" s="14" t="n">
        <x:f>SUM($D$13:D16)</x:f>
        <x:v>3.61</x:v>
      </x:c>
      <x:c r="F16" s="13" t="str">
        <x:v>Early scale</x:v>
      </x:c>
    </x:row>
    <x:row r="17">
      <x:c r="A17" s="13" t="str">
        <x:v>Y5</x:v>
      </x:c>
      <x:c r="B17" s="13" t="n">
        <x:v>15</x:v>
      </x:c>
      <x:c r="C17" s="17" t="n">
        <x:v>20</x:v>
      </x:c>
      <x:c r="D17" s="14" t="n">
        <x:f>B17*C17/100</x:f>
        <x:v>3</x:v>
      </x:c>
      <x:c r="E17" s="14" t="n">
        <x:f>SUM($D$13:D17)</x:f>
        <x:v>6.609999999999999</x:v>
      </x:c>
      <x:c r="F17" s="13" t="str">
        <x:v>Platform/OEM</x:v>
      </x:c>
    </x:row>
  </x:sheetData>
  <x:mergeCells>
    <x:mergeCell ref="A1:H2"/>
    <x:mergeCell ref="A3:H3"/>
  </x:mergeCells>
  <x:pageMargins left="0.7" right="0.7" top="0.75" bottom="0.75" header="0.3" footer="0.3"/>
  <x:drawing xmlns:r="http://schemas.openxmlformats.org/officeDocument/2006/relationships" r:id="R7944a3b6661847c4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17" hidden="0" customWidth="1"/>
    <x:col min="3" max="3" width="20" hidden="0" customWidth="1"/>
    <x:col min="4" max="4" width="55" hidden="0" customWidth="1"/>
  </x:cols>
  <x:sheetData>
    <x:row r="1" ht="36" customHeight="1">
      <x:c r="A1" s="3" t="str">
        <x:v>Assumptions</x:v>
      </x:c>
      <x:c r="B1" s="3" t="str">
        <x:v>Assumptions</x:v>
      </x:c>
      <x:c r="C1" s="3" t="str">
        <x:v>Assumptions</x:v>
      </x:c>
      <x:c r="D1" s="3" t="str">
        <x:v>Assumptions</x:v>
      </x:c>
      <x:c r="E1" s="3" t="str">
        <x:v>Assumptions</x:v>
      </x:c>
      <x:c r="F1" s="3" t="str">
        <x:v>Assumptions</x:v>
      </x:c>
      <x:c r="G1" s="3" t="str">
        <x:v>Assumptions</x:v>
      </x:c>
      <x:c r="H1" s="3" t="str">
        <x:v>Assumptions</x:v>
      </x:c>
    </x:row>
    <x:row r="2" ht="36" customHeight="1">
      <x:c r="A2" s="3" t="str">
        <x:v>Assumptions</x:v>
      </x:c>
      <x:c r="B2" s="3" t="str">
        <x:v>Assumptions</x:v>
      </x:c>
      <x:c r="C2" s="3" t="str">
        <x:v>Assumptions</x:v>
      </x:c>
      <x:c r="D2" s="3" t="str">
        <x:v>Assumptions</x:v>
      </x:c>
      <x:c r="E2" s="3" t="str">
        <x:v>Assumptions</x:v>
      </x:c>
      <x:c r="F2" s="3" t="str">
        <x:v>Assumptions</x:v>
      </x:c>
      <x:c r="G2" s="3" t="str">
        <x:v>Assumptions</x:v>
      </x:c>
      <x:c r="H2" s="3" t="str">
        <x:v>Assumptions</x:v>
      </x:c>
    </x:row>
    <x:row r="3">
      <x:c r="A3" s="4" t="str">
        <x:v>Blue cells are editable planning inputs; official and supplier references are listed on Sources</x:v>
      </x:c>
    </x:row>
    <x:row r="6" ht="25" customHeight="1">
      <x:c r="A6" s="9" t="str">
        <x:v>Input</x:v>
      </x:c>
      <x:c r="B6" s="9" t="str">
        <x:v>Value</x:v>
      </x:c>
      <x:c r="C6" s="9" t="str">
        <x:v>Unit</x:v>
      </x:c>
      <x:c r="D6" s="9" t="str">
        <x:v>Source / rationale</x:v>
      </x:c>
    </x:row>
    <x:row r="7">
      <x:c r="A7" s="13" t="str">
        <x:v>USD/INR</x:v>
      </x:c>
      <x:c r="B7" s="19" t="n">
        <x:v>95.7245</x:v>
      </x:c>
      <x:c r="C7" s="13" t="str">
        <x:v>INR per USD</x:v>
      </x:c>
      <x:c r="D7" s="13" t="str">
        <x:v>RBI reference-rate archive, 11 Sep 2026</x:v>
      </x:c>
    </x:row>
    <x:row r="8">
      <x:c r="A8" s="13" t="str">
        <x:v>Global side-scan market</x:v>
      </x:c>
      <x:c r="B8" s="20" t="n">
        <x:v>47.25</x:v>
      </x:c>
      <x:c r="C8" s="13" t="str">
        <x:v>USD million</x:v>
      </x:c>
      <x:c r="D8" s="13" t="str">
        <x:v>DIResearch, 2025</x:v>
      </x:c>
    </x:row>
    <x:row r="9">
      <x:c r="A9" s="13" t="str">
        <x:v>Cross-check market</x:v>
      </x:c>
      <x:c r="B9" s="20" t="n">
        <x:v>49.01</x:v>
      </x:c>
      <x:c r="C9" s="13" t="str">
        <x:v>USD million</x:v>
      </x:c>
      <x:c r="D9" s="13" t="str">
        <x:v>GlobalInfoResearch, 2025</x:v>
      </x:c>
    </x:row>
    <x:row r="10">
      <x:c r="A10" s="13" t="str">
        <x:v>Target selling price</x:v>
      </x:c>
      <x:c r="B10" s="21" t="n">
        <x:v>195000</x:v>
      </x:c>
      <x:c r="C10" s="13" t="str">
        <x:v>INR / unit</x:v>
      </x:c>
      <x:c r="D10" s="13" t="str">
        <x:v>Planning assumption, ex-GST</x:v>
      </x:c>
    </x:row>
    <x:row r="11">
      <x:c r="A11" s="13" t="str">
        <x:v>Warranty reserve</x:v>
      </x:c>
      <x:c r="B11" s="21" t="n">
        <x:v>8000</x:v>
      </x:c>
      <x:c r="C11" s="13" t="str">
        <x:v>INR / unit</x:v>
      </x:c>
      <x:c r="D11" s="13" t="str">
        <x:v>Planning assumption</x:v>
      </x:c>
    </x:row>
    <x:row r="12">
      <x:c r="A12" s="13" t="str">
        <x:v>Pilot qualification months</x:v>
      </x:c>
      <x:c r="B12" s="18" t="n">
        <x:v>12</x:v>
      </x:c>
      <x:c r="C12" s="13" t="str">
        <x:v>months</x:v>
      </x:c>
      <x:c r="D12" s="13" t="str">
        <x:v>Planning constraint</x:v>
      </x:c>
    </x:row>
    <x:row r="13">
      <x:c r="A13" s="13" t="str">
        <x:v>Imported freight/duty uplift</x:v>
      </x:c>
      <x:c r="B13" s="22" t="n">
        <x:v>0.25</x:v>
      </x:c>
      <x:c r="C13" s="13" t="str">
        <x:v>% of public price</x:v>
      </x:c>
      <x:c r="D13" s="13" t="str">
        <x:v>Planning sensitivity only</x:v>
      </x:c>
    </x:row>
    <x:row r="14">
      <x:c r="A14" s="13" t="str">
        <x:v>IP phase-one reserve</x:v>
      </x:c>
      <x:c r="B14" s="21" t="n">
        <x:v>127190</x:v>
      </x:c>
      <x:c r="C14" s="13" t="str">
        <x:v>INR</x:v>
      </x:c>
      <x:c r="D14" s="13" t="str">
        <x:v>IP budget</x:v>
      </x:c>
    </x:row>
    <x:row r="15">
      <x:c r="A15" s="13" t="str">
        <x:v>Field-payload scaling reserve</x:v>
      </x:c>
      <x:c r="B15" s="21" t="n">
        <x:v>1435000</x:v>
      </x:c>
      <x:c r="C15" s="13" t="str">
        <x:v>INR</x:v>
      </x:c>
      <x:c r="D15" s="13" t="str">
        <x:v>Roadmap budget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8" hidden="0" customWidth="1"/>
    <x:col min="2" max="2" width="17" hidden="0" customWidth="1"/>
    <x:col min="3" max="3" width="17" hidden="0" customWidth="1"/>
    <x:col min="4" max="4" width="19" hidden="0" customWidth="1"/>
    <x:col min="5" max="5" width="28" hidden="0" customWidth="1"/>
    <x:col min="6" max="6" width="34" hidden="0" customWidth="1"/>
  </x:cols>
  <x:sheetData>
    <x:row r="1" ht="36" customHeight="1">
      <x:c r="A1" s="3" t="str">
        <x:v>Market sizing</x:v>
      </x:c>
      <x:c r="B1" s="3" t="str">
        <x:v>Market sizing</x:v>
      </x:c>
      <x:c r="C1" s="3" t="str">
        <x:v>Market sizing</x:v>
      </x:c>
      <x:c r="D1" s="3" t="str">
        <x:v>Market sizing</x:v>
      </x:c>
      <x:c r="E1" s="3" t="str">
        <x:v>Market sizing</x:v>
      </x:c>
      <x:c r="F1" s="3" t="str">
        <x:v>Market sizing</x:v>
      </x:c>
      <x:c r="G1" s="3" t="str">
        <x:v>Market sizing</x:v>
      </x:c>
      <x:c r="H1" s="3" t="str">
        <x:v>Market sizing</x:v>
      </x:c>
    </x:row>
    <x:row r="2" ht="36" customHeight="1">
      <x:c r="A2" s="3" t="str">
        <x:v>Market sizing</x:v>
      </x:c>
      <x:c r="B2" s="3" t="str">
        <x:v>Market sizing</x:v>
      </x:c>
      <x:c r="C2" s="3" t="str">
        <x:v>Market sizing</x:v>
      </x:c>
      <x:c r="D2" s="3" t="str">
        <x:v>Market sizing</x:v>
      </x:c>
      <x:c r="E2" s="3" t="str">
        <x:v>Market sizing</x:v>
      </x:c>
      <x:c r="F2" s="3" t="str">
        <x:v>Market sizing</x:v>
      </x:c>
      <x:c r="G2" s="3" t="str">
        <x:v>Market sizing</x:v>
      </x:c>
      <x:c r="H2" s="3" t="str">
        <x:v>Market sizing</x:v>
      </x:c>
    </x:row>
    <x:row r="3">
      <x:c r="A3" s="4" t="str">
        <x:v>Narrow global TAM, bottom-up Indian SAM and staged SOM</x:v>
      </x:c>
    </x:row>
    <x:row r="5" ht="25" customHeight="1">
      <x:c r="A5" s="9" t="str">
        <x:v>TAM source</x:v>
      </x:c>
      <x:c r="B5" s="9" t="str">
        <x:v>USD million</x:v>
      </x:c>
      <x:c r="C5" s="9" t="str">
        <x:v>FX</x:v>
      </x:c>
      <x:c r="D5" s="9" t="str">
        <x:v>INR million</x:v>
      </x:c>
      <x:c r="E5" s="9" t="str">
        <x:v>INR crore</x:v>
      </x:c>
      <x:c r="F5" s="9" t="str">
        <x:v>Selected TAM</x:v>
      </x:c>
    </x:row>
    <x:row r="6">
      <x:c r="A6" s="13" t="str">
        <x:v>DIResearch 2025</x:v>
      </x:c>
      <x:c r="B6" s="14" t="n">
        <x:v>47.25</x:v>
      </x:c>
      <x:c r="C6" s="14" t="n">
        <x:f>'Assumptions'!B7</x:f>
        <x:v>95.7245</x:v>
      </x:c>
      <x:c r="D6" s="14" t="n">
        <x:f>B6*C6</x:f>
        <x:v>4522.982625000001</x:v>
      </x:c>
      <x:c r="E6" s="14" t="n">
        <x:f>D6/10</x:f>
        <x:v>452.2982625000001</x:v>
      </x:c>
      <x:c r="F6" s="14" t="n">
        <x:f>E6</x:f>
        <x:v>452.2982625000001</x:v>
      </x:c>
    </x:row>
    <x:row r="7">
      <x:c r="A7" s="13" t="str">
        <x:v>GlobalInfoResearch 2025</x:v>
      </x:c>
      <x:c r="B7" s="14" t="n">
        <x:v>49.01</x:v>
      </x:c>
      <x:c r="C7" s="14" t="n">
        <x:f>'Assumptions'!B7</x:f>
        <x:v>95.7245</x:v>
      </x:c>
      <x:c r="D7" s="14" t="n">
        <x:f>B7*C7</x:f>
        <x:v>4691.457745</x:v>
      </x:c>
      <x:c r="E7" s="14" t="n">
        <x:f>D7/10</x:f>
        <x:v>469.14577449999996</x:v>
      </x:c>
      <x:c r="F7" s="14"/>
    </x:row>
    <x:row r="10" ht="25" customHeight="1">
      <x:c r="A10" s="9" t="str">
        <x:v>India customer group</x:v>
      </x:c>
      <x:c r="B10" s="9" t="str">
        <x:v>Estimated units</x:v>
      </x:c>
      <x:c r="C10" s="9" t="str">
        <x:v>ASP INR lakh</x:v>
      </x:c>
      <x:c r="D10" s="9" t="str">
        <x:v>Value INR crore</x:v>
      </x:c>
      <x:c r="E10" s="9" t="str">
        <x:v>Programme anchor</x:v>
      </x:c>
      <x:c r="F10" s="9" t="str">
        <x:v>Planning note</x:v>
      </x:c>
    </x:row>
    <x:row r="11">
      <x:c r="A11" s="13" t="str">
        <x:v>MoES / NIOT research payloads</x:v>
      </x:c>
      <x:c r="B11" s="13" t="n">
        <x:v>24</x:v>
      </x:c>
      <x:c r="C11" s="13" t="n">
        <x:v>18</x:v>
      </x:c>
      <x:c r="D11" s="14" t="n">
        <x:f>B11*C11/100</x:f>
        <x:v>4.32</x:v>
      </x:c>
      <x:c r="E11" s="13" t="str">
        <x:v>Deep Ocean Mission</x:v>
      </x:c>
      <x:c r="F11" s="13" t="str">
        <x:v>Five-year deployable unit estimate</x:v>
      </x:c>
    </x:row>
    <x:row r="12">
      <x:c r="A12" s="13" t="str">
        <x:v>Navy / Coast Guard / iDEX</x:v>
      </x:c>
      <x:c r="B12" s="13" t="n">
        <x:v>20</x:v>
      </x:c>
      <x:c r="C12" s="13" t="n">
        <x:v>25</x:v>
      </x:c>
      <x:c r="D12" s="14" t="n">
        <x:f>B12*C12/100</x:f>
        <x:v>5</x:v>
      </x:c>
      <x:c r="E12" s="13" t="str">
        <x:v>ADITI / iDEX</x:v>
      </x:c>
      <x:c r="F12" s="13" t="str">
        <x:v>Higher integration ASP</x:v>
      </x:c>
    </x:row>
    <x:row r="13">
      <x:c r="A13" s="13" t="str">
        <x:v>Ports and coastal inspection</x:v>
      </x:c>
      <x:c r="B13" s="13" t="n">
        <x:v>45</x:v>
      </x:c>
      <x:c r="C13" s="13" t="n">
        <x:v>18</x:v>
      </x:c>
      <x:c r="D13" s="14" t="n">
        <x:f>B13*C13/100</x:f>
        <x:v>8.1</x:v>
      </x:c>
      <x:c r="E13" s="13" t="str">
        <x:v>Sagarmala</x:v>
      </x:c>
      <x:c r="F13" s="13" t="str">
        <x:v>Port and coastal settings</x:v>
      </x:c>
    </x:row>
    <x:row r="14">
      <x:c r="A14" s="13" t="str">
        <x:v>Inland waterways, dams, reservoirs</x:v>
      </x:c>
      <x:c r="B14" s="13" t="n">
        <x:v>50</x:v>
      </x:c>
      <x:c r="C14" s="13" t="n">
        <x:v>15</x:v>
      </x:c>
      <x:c r="D14" s="14" t="n">
        <x:f>B14*C14/100</x:f>
        <x:v>7.5</x:v>
      </x:c>
      <x:c r="E14" s="13" t="str">
        <x:v>IWT / state infrastructure</x:v>
      </x:c>
      <x:c r="F14" s="13" t="str">
        <x:v>Inspection and research</x:v>
      </x:c>
    </x:row>
    <x:row r="15">
      <x:c r="A15" s="13" t="str">
        <x:v>Universities, survey labs, developers</x:v>
      </x:c>
      <x:c r="B15" s="13" t="n">
        <x:v>35</x:v>
      </x:c>
      <x:c r="C15" s="13" t="n">
        <x:v>20</x:v>
      </x:c>
      <x:c r="D15" s="14" t="n">
        <x:f>B15*C15/100</x:f>
        <x:v>7</x:v>
      </x:c>
      <x:c r="E15" s="13" t="str">
        <x:v>Institutional procurement</x:v>
      </x:c>
      <x:c r="F15" s="13" t="str">
        <x:v>Research and AUV/ROV integration</x:v>
      </x:c>
    </x:row>
    <x:row r="16">
      <x:c r="A16" s="25" t="str">
        <x:v>Total SAM</x:v>
      </x:c>
      <x:c r="B16" s="25" t="n">
        <x:f>SUM(B11:B15)</x:f>
        <x:v>174</x:v>
      </x:c>
      <x:c r="C16" s="25"/>
      <x:c r="D16" s="26" t="n">
        <x:f>SUM(D11:D15)</x:f>
        <x:v>31.92</x:v>
      </x:c>
      <x:c r="E16" s="25"/>
      <x:c r="F16" s="25"/>
    </x:row>
    <x:row r="17">
      <x:c r="D17" s="27"/>
    </x:row>
    <x:row r="18">
      <x:c r="D18" s="27"/>
    </x:row>
    <x:row r="19" ht="25" customHeight="1">
      <x:c r="A19" s="9" t="str">
        <x:v>SOM year</x:v>
      </x:c>
      <x:c r="B19" s="9" t="str">
        <x:v>Units</x:v>
      </x:c>
      <x:c r="C19" s="9" t="str">
        <x:v>ASP INR lakh</x:v>
      </x:c>
      <x:c r="D19" s="28" t="str">
        <x:v>Revenue INR crore</x:v>
      </x:c>
      <x:c r="E19" s="9" t="str">
        <x:v>Cumulative INR crore</x:v>
      </x:c>
      <x:c r="F19" s="9" t="str">
        <x:v>Gate</x:v>
      </x:c>
    </x:row>
    <x:row r="20">
      <x:c r="A20" s="13" t="str">
        <x:v>Y1</x:v>
      </x:c>
      <x:c r="B20" s="13" t="n">
        <x:v>1</x:v>
      </x:c>
      <x:c r="C20" s="13" t="n">
        <x:v>15</x:v>
      </x:c>
      <x:c r="D20" s="14" t="n">
        <x:f>B20*C20/100</x:f>
        <x:v>0.15</x:v>
      </x:c>
      <x:c r="E20" s="13" t="n">
        <x:f>SUM($D$20:D20)</x:f>
        <x:v>0.15</x:v>
      </x:c>
      <x:c r="F20" s="13" t="str">
        <x:v>Evaluation</x:v>
      </x:c>
    </x:row>
    <x:row r="21">
      <x:c r="A21" s="13" t="str">
        <x:v>Y2</x:v>
      </x:c>
      <x:c r="B21" s="13" t="n">
        <x:v>3</x:v>
      </x:c>
      <x:c r="C21" s="13" t="n">
        <x:v>16</x:v>
      </x:c>
      <x:c r="D21" s="14" t="n">
        <x:f>B21*C21/100</x:f>
        <x:v>0.48</x:v>
      </x:c>
      <x:c r="E21" s="13" t="n">
        <x:f>SUM($D$20:D21)</x:f>
        <x:v>0.63</x:v>
      </x:c>
      <x:c r="F21" s="13" t="str">
        <x:v>Paid pilot</x:v>
      </x:c>
    </x:row>
    <x:row r="22">
      <x:c r="A22" s="13" t="str">
        <x:v>Y3</x:v>
      </x:c>
      <x:c r="B22" s="13" t="n">
        <x:v>6</x:v>
      </x:c>
      <x:c r="C22" s="13" t="n">
        <x:v>18</x:v>
      </x:c>
      <x:c r="D22" s="14" t="n">
        <x:f>B22*C22/100</x:f>
        <x:v>1.08</x:v>
      </x:c>
      <x:c r="E22" s="13" t="n">
        <x:f>SUM($D$20:D22)</x:f>
        <x:v>1.71</x:v>
      </x:c>
      <x:c r="F22" s="13" t="str">
        <x:v>Qualification</x:v>
      </x:c>
    </x:row>
    <x:row r="23">
      <x:c r="A23" s="13" t="str">
        <x:v>Y4</x:v>
      </x:c>
      <x:c r="B23" s="13" t="n">
        <x:v>10</x:v>
      </x:c>
      <x:c r="C23" s="13" t="n">
        <x:v>19</x:v>
      </x:c>
      <x:c r="D23" s="14" t="n">
        <x:f>B23*C23/100</x:f>
        <x:v>1.9</x:v>
      </x:c>
      <x:c r="E23" s="13" t="n">
        <x:f>SUM($D$20:D23)</x:f>
        <x:v>3.61</x:v>
      </x:c>
      <x:c r="F23" s="13" t="str">
        <x:v>Early scale</x:v>
      </x:c>
    </x:row>
    <x:row r="24">
      <x:c r="A24" s="13" t="str">
        <x:v>Y5</x:v>
      </x:c>
      <x:c r="B24" s="13" t="n">
        <x:v>15</x:v>
      </x:c>
      <x:c r="C24" s="13" t="n">
        <x:v>20</x:v>
      </x:c>
      <x:c r="D24" s="14" t="n">
        <x:f>B24*C24/100</x:f>
        <x:v>3</x:v>
      </x:c>
      <x:c r="E24" s="13" t="n">
        <x:f>SUM($D$20:D24)</x:f>
        <x:v>6.609999999999999</x:v>
      </x:c>
      <x:c r="F24" s="13" t="str">
        <x:v>OEM / platform</x:v>
      </x:c>
    </x:row>
    <x:row r="25">
      <x:c r="A25" s="25" t="str">
        <x:v>Five-year SOM</x:v>
      </x:c>
      <x:c r="B25" s="25" t="n">
        <x:f>SUM(B20:B24)</x:f>
        <x:v>35</x:v>
      </x:c>
      <x:c r="C25" s="25"/>
      <x:c r="D25" s="26" t="n">
        <x:f>SUM(D20:D24)</x:f>
        <x:v>6.609999999999999</x:v>
      </x:c>
      <x:c r="E25" s="29" t="n">
        <x:f>D25/D16</x:f>
        <x:v>0.20708020050125311</x:v>
      </x:c>
      <x:c r="F25" s="25"/>
    </x:row>
  </x:sheetData>
  <x:mergeCells>
    <x:mergeCell ref="A1:H2"/>
    <x:mergeCell ref="A3:H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8" hidden="0" customWidth="1"/>
    <x:col min="2" max="2" width="20" hidden="0" customWidth="1"/>
    <x:col min="3" max="3" width="18" hidden="0" customWidth="1"/>
    <x:col min="4" max="4" width="45" hidden="0" customWidth="1"/>
  </x:cols>
  <x:sheetData>
    <x:row r="1" ht="36" customHeight="1">
      <x:c r="A1" s="3" t="str">
        <x:v>Unit economics</x:v>
      </x:c>
      <x:c r="B1" s="3" t="str">
        <x:v>Unit economics</x:v>
      </x:c>
      <x:c r="C1" s="3" t="str">
        <x:v>Unit economics</x:v>
      </x:c>
      <x:c r="D1" s="3" t="str">
        <x:v>Unit economics</x:v>
      </x:c>
      <x:c r="E1" s="3" t="str">
        <x:v>Unit economics</x:v>
      </x:c>
      <x:c r="F1" s="3" t="str">
        <x:v>Unit economics</x:v>
      </x:c>
      <x:c r="G1" s="3" t="str">
        <x:v>Unit economics</x:v>
      </x:c>
      <x:c r="H1" s="3" t="str">
        <x:v>Unit economics</x:v>
      </x:c>
    </x:row>
    <x:row r="2" ht="36" customHeight="1">
      <x:c r="A2" s="3" t="str">
        <x:v>Unit economics</x:v>
      </x:c>
      <x:c r="B2" s="3" t="str">
        <x:v>Unit economics</x:v>
      </x:c>
      <x:c r="C2" s="3" t="str">
        <x:v>Unit economics</x:v>
      </x:c>
      <x:c r="D2" s="3" t="str">
        <x:v>Unit economics</x:v>
      </x:c>
      <x:c r="E2" s="3" t="str">
        <x:v>Unit economics</x:v>
      </x:c>
      <x:c r="F2" s="3" t="str">
        <x:v>Unit economics</x:v>
      </x:c>
      <x:c r="G2" s="3" t="str">
        <x:v>Unit economics</x:v>
      </x:c>
      <x:c r="H2" s="3" t="str">
        <x:v>Unit economics</x:v>
      </x:c>
    </x:row>
    <x:row r="3">
      <x:c r="A3" s="4" t="str">
        <x:v>Target product unit | INR | ex-GST</x:v>
      </x:c>
    </x:row>
    <x:row r="6" ht="25" customHeight="1">
      <x:c r="A6" s="9" t="str">
        <x:v>Cost element</x:v>
      </x:c>
      <x:c r="B6" s="9" t="str">
        <x:v>INR / unit</x:v>
      </x:c>
      <x:c r="C6" s="9" t="str">
        <x:v>Type</x:v>
      </x:c>
      <x:c r="D6" s="9" t="str">
        <x:v>Basis</x:v>
      </x:c>
    </x:row>
    <x:row r="7">
      <x:c r="A7" s="13" t="str">
        <x:v>Electronics and PCB</x:v>
      </x:c>
      <x:c r="B7" s="15" t="n">
        <x:v>26148</x:v>
      </x:c>
      <x:c r="C7" s="13" t="str">
        <x:v>Variable</x:v>
      </x:c>
      <x:c r="D7" s="13" t="str">
        <x:v>Hardware BOM</x:v>
      </x:c>
    </x:row>
    <x:row r="8">
      <x:c r="A8" s="13" t="str">
        <x:v>Enclosure and sealed integration</x:v>
      </x:c>
      <x:c r="B8" s="15" t="n">
        <x:v>18500</x:v>
      </x:c>
      <x:c r="C8" s="13" t="str">
        <x:v>Variable</x:v>
      </x:c>
      <x:c r="D8" s="13" t="str">
        <x:v>Planning estimate</x:v>
      </x:c>
    </x:row>
    <x:row r="9">
      <x:c r="A9" s="13" t="str">
        <x:v>Transducers</x:v>
      </x:c>
      <x:c r="B9" s="15" t="n">
        <x:v>36000</x:v>
      </x:c>
      <x:c r="C9" s="13" t="str">
        <x:v>Variable</x:v>
      </x:c>
      <x:c r="D9" s="13" t="str">
        <x:v>Planning estimate</x:v>
      </x:c>
    </x:row>
    <x:row r="10">
      <x:c r="A10" s="13" t="str">
        <x:v>Battery and power</x:v>
      </x:c>
      <x:c r="B10" s="15" t="n">
        <x:v>8500</x:v>
      </x:c>
      <x:c r="C10" s="13" t="str">
        <x:v>Variable</x:v>
      </x:c>
      <x:c r="D10" s="13" t="str">
        <x:v>Planning estimate</x:v>
      </x:c>
    </x:row>
    <x:row r="11">
      <x:c r="A11" s="13" t="str">
        <x:v>Assembly and calibration</x:v>
      </x:c>
      <x:c r="B11" s="15" t="n">
        <x:v>17000</x:v>
      </x:c>
      <x:c r="C11" s="13" t="str">
        <x:v>Variable</x:v>
      </x:c>
      <x:c r="D11" s="13" t="str">
        <x:v>Planning estimate</x:v>
      </x:c>
    </x:row>
    <x:row r="12">
      <x:c r="A12" s="13" t="str">
        <x:v>QA and warranty reserve</x:v>
      </x:c>
      <x:c r="B12" s="15" t="n">
        <x:v>8000</x:v>
      </x:c>
      <x:c r="C12" s="13" t="str">
        <x:v>Variable</x:v>
      </x:c>
      <x:c r="D12" s="13" t="str">
        <x:v>Planning estimate</x:v>
      </x:c>
    </x:row>
    <x:row r="13">
      <x:c r="A13" s="13" t="str">
        <x:v>Packaging and field kit</x:v>
      </x:c>
      <x:c r="B13" s="15" t="n">
        <x:v>3500</x:v>
      </x:c>
      <x:c r="C13" s="13" t="str">
        <x:v>Variable</x:v>
      </x:c>
      <x:c r="D13" s="13" t="str">
        <x:v>Planning estimate</x:v>
      </x:c>
    </x:row>
    <x:row r="14">
      <x:c r="A14" s="32" t="str">
        <x:v>Total COGS</x:v>
      </x:c>
      <x:c r="B14" s="33" t="n">
        <x:f>SUM(B7:B13)</x:f>
        <x:v>117648</x:v>
      </x:c>
      <x:c r="C14" s="32" t="str">
        <x:v>Calculated</x:v>
      </x:c>
      <x:c r="D14" s="32" t="str">
        <x:v>Sum of unit costs</x:v>
      </x:c>
    </x:row>
    <x:row r="15">
      <x:c r="B15" s="34"/>
    </x:row>
    <x:row r="16">
      <x:c r="B16" s="34"/>
    </x:row>
    <x:row r="17">
      <x:c r="A17" s="13" t="str">
        <x:v>Total COGS</x:v>
      </x:c>
      <x:c r="B17" s="15" t="n">
        <x:f>B14</x:f>
        <x:v>117648</x:v>
      </x:c>
    </x:row>
    <x:row r="18">
      <x:c r="A18" s="13" t="str">
        <x:v>Target selling price</x:v>
      </x:c>
      <x:c r="B18" s="15" t="n">
        <x:f>'Assumptions'!B10</x:f>
        <x:v>195000</x:v>
      </x:c>
    </x:row>
    <x:row r="19">
      <x:c r="A19" s="13" t="str">
        <x:v>Gross profit</x:v>
      </x:c>
      <x:c r="B19" s="15" t="n">
        <x:f>B18-B17</x:f>
        <x:v>77352</x:v>
      </x:c>
    </x:row>
    <x:row r="20">
      <x:c r="A20" s="32" t="str">
        <x:v>Gross margin</x:v>
      </x:c>
      <x:c r="B20" s="35" t="n">
        <x:f>B19/B18</x:f>
        <x:v>0.3966769230769231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0" hidden="0" customWidth="1"/>
    <x:col min="2" max="2" width="25" hidden="0" customWidth="1"/>
    <x:col min="3" max="3" width="24" hidden="0" customWidth="1"/>
    <x:col min="4" max="4" width="22" hidden="0" customWidth="1"/>
    <x:col min="5" max="5" width="75" hidden="0" customWidth="1"/>
  </x:cols>
  <x:sheetData>
    <x:row r="1" ht="36" customHeight="1">
      <x:c r="A1" s="3" t="str">
        <x:v>Sources</x:v>
      </x:c>
      <x:c r="B1" s="3" t="str">
        <x:v>Sources</x:v>
      </x:c>
      <x:c r="C1" s="3" t="str">
        <x:v>Sources</x:v>
      </x:c>
      <x:c r="D1" s="3" t="str">
        <x:v>Sources</x:v>
      </x:c>
      <x:c r="E1" s="3" t="str">
        <x:v>Sources</x:v>
      </x:c>
      <x:c r="F1" s="3" t="str">
        <x:v>Sources</x:v>
      </x:c>
      <x:c r="G1" s="3" t="str">
        <x:v>Sources</x:v>
      </x:c>
      <x:c r="H1" s="3" t="str">
        <x:v>Sources</x:v>
      </x:c>
    </x:row>
    <x:row r="2" ht="36" customHeight="1">
      <x:c r="A2" s="3" t="str">
        <x:v>Sources</x:v>
      </x:c>
      <x:c r="B2" s="3" t="str">
        <x:v>Sources</x:v>
      </x:c>
      <x:c r="C2" s="3" t="str">
        <x:v>Sources</x:v>
      </x:c>
      <x:c r="D2" s="3" t="str">
        <x:v>Sources</x:v>
      </x:c>
      <x:c r="E2" s="3" t="str">
        <x:v>Sources</x:v>
      </x:c>
      <x:c r="F2" s="3" t="str">
        <x:v>Sources</x:v>
      </x:c>
      <x:c r="G2" s="3" t="str">
        <x:v>Sources</x:v>
      </x:c>
      <x:c r="H2" s="3" t="str">
        <x:v>Sources</x:v>
      </x:c>
    </x:row>
    <x:row r="3">
      <x:c r="A3" s="4" t="str">
        <x:v>URLs and dated references used by the model</x:v>
      </x:c>
    </x:row>
    <x:row r="6" ht="25" customHeight="1">
      <x:c r="A6" s="9" t="str">
        <x:v>ID</x:v>
      </x:c>
      <x:c r="B6" s="9" t="str">
        <x:v>Topic</x:v>
      </x:c>
      <x:c r="C6" s="9" t="str">
        <x:v>Value used</x:v>
      </x:c>
      <x:c r="D6" s="9" t="str">
        <x:v>As of / period</x:v>
      </x:c>
      <x:c r="E6" s="9" t="str">
        <x:v>URL</x:v>
      </x:c>
    </x:row>
    <x:row r="7">
      <x:c r="A7" s="13" t="str">
        <x:v>M1</x:v>
      </x:c>
      <x:c r="B7" s="13" t="str">
        <x:v>Global TAM</x:v>
      </x:c>
      <x:c r="C7" s="13" t="str">
        <x:v>USD 47.25m</x:v>
      </x:c>
      <x:c r="D7" s="13" t="str">
        <x:v>2025</x:v>
      </x:c>
      <x:c r="E7" s="13" t="str">
        <x:v>https://www.marketresearch.com/Deep-Insights-Research-Co-DIR-v4285/Global-Side-Scan-Sonars-Research-41780036/</x:v>
      </x:c>
    </x:row>
    <x:row r="8">
      <x:c r="A8" s="13" t="str">
        <x:v>M2</x:v>
      </x:c>
      <x:c r="B8" s="13" t="str">
        <x:v>TAM cross-check</x:v>
      </x:c>
      <x:c r="C8" s="13" t="str">
        <x:v>USD 49.01m</x:v>
      </x:c>
      <x:c r="D8" s="13" t="str">
        <x:v>2025</x:v>
      </x:c>
      <x:c r="E8" s="13" t="str">
        <x:v>https://www.marketresearch.com/GlobalInfoResearch-v4117/Global-Side-Scan-Echo-Sounder-45818082/</x:v>
      </x:c>
    </x:row>
    <x:row r="9">
      <x:c r="A9" s="13" t="str">
        <x:v>M3</x:v>
      </x:c>
      <x:c r="B9" s="13" t="str">
        <x:v>USD/INR</x:v>
      </x:c>
      <x:c r="C9" s="13" t="str">
        <x:v>95.7245</x:v>
      </x:c>
      <x:c r="D9" s="13" t="str">
        <x:v>2026-09-11</x:v>
      </x:c>
      <x:c r="E9" s="13" t="str">
        <x:v>https://www.msei.in/markets/currency/historical-data/rbireferenceratearchives</x:v>
      </x:c>
    </x:row>
    <x:row r="10">
      <x:c r="A10" s="13" t="str">
        <x:v>I1</x:v>
      </x:c>
      <x:c r="B10" s="13" t="str">
        <x:v>Deep Ocean Mission</x:v>
      </x:c>
      <x:c r="C10" s="13" t="str">
        <x:v>INR 4,077 cr</x:v>
      </x:c>
      <x:c r="D10" s="13" t="str">
        <x:v>Approved outlay</x:v>
      </x:c>
      <x:c r="E10" s="13" t="str">
        <x:v>https://www.pib.gov.in/PressReleasePage.aspx?PRID=1727526&amp;lang=2&amp;reg=48</x:v>
      </x:c>
    </x:row>
    <x:row r="11">
      <x:c r="A11" s="13" t="str">
        <x:v>I2</x:v>
      </x:c>
      <x:c r="B11" s="13" t="str">
        <x:v>ADITI</x:v>
      </x:c>
      <x:c r="C11" s="13" t="str">
        <x:v>INR 750 cr</x:v>
      </x:c>
      <x:c r="D11" s="13" t="str">
        <x:v>2023-24 to 2025-26</x:v>
      </x:c>
      <x:c r="E11" s="13" t="str">
        <x:v>https://www.pib.gov.in/Pressreleaseshare.aspx?PRID=2011171&amp;lang=2&amp;reg=48</x:v>
      </x:c>
    </x:row>
    <x:row r="12">
      <x:c r="A12" s="13" t="str">
        <x:v>I3</x:v>
      </x:c>
      <x:c r="B12" s="13" t="str">
        <x:v>Sagarmala</x:v>
      </x:c>
      <x:c r="C12" s="13" t="str">
        <x:v>839 projects / INR 5.8 lakh cr</x:v>
      </x:c>
      <x:c r="D12" s="13" t="str">
        <x:v>Current page</x:v>
      </x:c>
      <x:c r="E12" s="13" t="str">
        <x:v>https://sagarmala.gov.in/projects/projects-under-sagarmala</x:v>
      </x:c>
    </x:row>
    <x:row r="13">
      <x:c r="A13" s="13" t="str">
        <x:v>C1</x:v>
      </x:c>
      <x:c r="B13" s="13" t="str">
        <x:v>Ping360</x:v>
      </x:c>
      <x:c r="C13" s="13" t="str">
        <x:v>USD 2,750</x:v>
      </x:c>
      <x:c r="D13" s="13" t="str">
        <x:v>Current listing</x:v>
      </x:c>
      <x:c r="E13" s="13" t="str">
        <x:v>https://bluerobotics.com/store/sonars/imaging-sonars/ping360-sonar-r1-rp/</x:v>
      </x:c>
    </x:row>
    <x:row r="14">
      <x:c r="A14" s="13" t="str">
        <x:v>C2</x:v>
      </x:c>
      <x:c r="B14" s="13" t="str">
        <x:v>Sonoptix ECHO</x:v>
      </x:c>
      <x:c r="C14" s="13" t="str">
        <x:v>From USD 8,950</x:v>
      </x:c>
      <x:c r="D14" s="13" t="str">
        <x:v>Current listing</x:v>
      </x:c>
      <x:c r="E14" s="13" t="str">
        <x:v>https://bluerobotics.com/store/sonars/imaging-sonars/sonoptix-echo/</x:v>
      </x:c>
    </x:row>
    <x:row r="15">
      <x:c r="A15" s="13" t="str">
        <x:v>P1</x:v>
      </x:c>
      <x:c r="B15" s="13" t="str">
        <x:v>IP India fees</x:v>
      </x:c>
      <x:c r="C15" s="13" t="str">
        <x:v>Official fee schedule</x:v>
      </x:c>
      <x:c r="D15" s="13" t="str">
        <x:v>Current portal</x:v>
      </x:c>
      <x:c r="E15" s="13" t="str">
        <x:v>https://ipindia.gov.in/writereaddata/portal/ipoformupload/1_11_1/fees.pdf</x:v>
      </x:c>
    </x:row>
  </x:sheetData>
  <x:mergeCells>
    <x:mergeCell ref="A1:H2"/>
    <x:mergeCell ref="A3:H3"/>
  </x:mergeCells>
  <x:pageMargins left="0.7" right="0.7" top="0.75" bottom="0.75" header="0.3" footer="0.3"/>
</x:worksheet>
</file>